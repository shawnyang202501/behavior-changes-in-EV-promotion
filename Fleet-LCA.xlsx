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17680" firstSheet="1" activeTab="1"/>
  </bookViews>
  <sheets>
    <sheet name="停止推广EV -2050碳中和" sheetId="19" r:id="rId1"/>
    <sheet name="限售配额" sheetId="17" r:id="rId2"/>
    <sheet name="停止推广EV" sheetId="15" r:id="rId3"/>
    <sheet name="2060碳中和-变动行为情景仿真" sheetId="2" r:id="rId4"/>
    <sheet name="2060碳中和-基准行为情景仿真" sheetId="4" r:id="rId5"/>
    <sheet name="2050碳中和-变动行为情景仿真" sheetId="6" r:id="rId6"/>
    <sheet name="2050碳中和-基准行为情景仿真 " sheetId="5" r:id="rId7"/>
    <sheet name="基准情景-变动行为情景仿真 " sheetId="8" r:id="rId8"/>
    <sheet name="基准排放-基准行为情景仿真" sheetId="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<sst xmlns="http://schemas.openxmlformats.org/spreadsheetml/2006/main" count="341" uniqueCount="58">
  <si>
    <t>Year</t>
  </si>
  <si>
    <t>Vehicle Sales (thousand)</t>
  </si>
  <si>
    <t>Vehicle Stock</t>
  </si>
  <si>
    <t>ICEV VKT (km/year)</t>
  </si>
  <si>
    <t>ICEV vehicle emission intensity</t>
  </si>
  <si>
    <t>ICEV fuel emission intensity</t>
  </si>
  <si>
    <t>ICEV Emission</t>
  </si>
  <si>
    <t>Total Emission</t>
  </si>
  <si>
    <t>EV Sales Percent</t>
  </si>
  <si>
    <t>BEV sales percent</t>
  </si>
  <si>
    <t>PHEV sales percent</t>
  </si>
  <si>
    <t>ICEV Sales Percent</t>
  </si>
  <si>
    <t>EV Stock</t>
  </si>
  <si>
    <t>BEV Stock</t>
  </si>
  <si>
    <t>PHEV Stock</t>
  </si>
  <si>
    <t>ICEV Stock</t>
  </si>
  <si>
    <t>EV Sales</t>
  </si>
  <si>
    <t>EV Scrapt</t>
  </si>
  <si>
    <t>BEV Sales</t>
  </si>
  <si>
    <t>BEV Scrapt</t>
  </si>
  <si>
    <t>BEV Net Sales</t>
  </si>
  <si>
    <t>BEV Sale Change</t>
  </si>
  <si>
    <t>BEV New Sales</t>
  </si>
  <si>
    <t>BEV Stock without Scrapt</t>
  </si>
  <si>
    <t>BEV Scrapt Rate</t>
  </si>
  <si>
    <t>BEV Scrapt Change Rate</t>
  </si>
  <si>
    <t>BEV Scrapt New</t>
  </si>
  <si>
    <t>BEV New Stock</t>
  </si>
  <si>
    <t>PHEV Sales</t>
  </si>
  <si>
    <t>PHEV Scrapt</t>
  </si>
  <si>
    <t>PHEV Net Sales</t>
  </si>
  <si>
    <t>PHEV Sale Change</t>
  </si>
  <si>
    <t>PHEV New Net Sales</t>
  </si>
  <si>
    <t>PHEV Stock without Scrapt</t>
  </si>
  <si>
    <t>PHEV Scrapt Rate</t>
  </si>
  <si>
    <t>PHEV Scrapt Change rate</t>
  </si>
  <si>
    <t>PHEV Scrapt New</t>
  </si>
  <si>
    <t>PHEV New Stock</t>
  </si>
  <si>
    <t>ICEV Sales</t>
  </si>
  <si>
    <t>ICEV Scrapt</t>
  </si>
  <si>
    <t>ICEV Sale Change Rate</t>
  </si>
  <si>
    <t>ICEV Sale Change</t>
  </si>
  <si>
    <t>ICEV New Sales</t>
  </si>
  <si>
    <t>ICEV Stock without Scrapt</t>
  </si>
  <si>
    <t>ICEV Scrapt Rate</t>
  </si>
  <si>
    <t>ICEV Scrapt Change</t>
  </si>
  <si>
    <t>ICEV Scrapt New</t>
  </si>
  <si>
    <t>ICEV New Stock</t>
  </si>
  <si>
    <t>Vehicle sales change rate</t>
  </si>
  <si>
    <t>Vehicle sales change</t>
  </si>
  <si>
    <t>EV VKT (km/year)</t>
  </si>
  <si>
    <t>EV VKT Change Rate</t>
  </si>
  <si>
    <t>BEV vehicle emission intensity (g/Km)</t>
  </si>
  <si>
    <t>PHEV vehicle emission intensity</t>
  </si>
  <si>
    <t>BEV fuel emission intensity (g/Km)</t>
  </si>
  <si>
    <t>PHEV fuel emission intensity</t>
  </si>
  <si>
    <t>BEV Emission</t>
  </si>
  <si>
    <t>PHEV Emission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</si>
</sst>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0_ "/>
  </numFmts>
  <fonts count="31">
    <font>
      <sz val="11"/>
      <color theme="1"/>
      <name val="等线"/>
      <charset val="134"/>
      <scheme val="minor"/>
    </font>
    <font>
      <sz val="11"/>
      <color rgb="FFFF0000"/>
      <name val="Times New Roman"/>
      <charset val="134"/>
    </font>
    <font>
      <sz val="11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b/>
      <sz val="11"/>
      <name val="Times New Roman"/>
      <charset val="134"/>
    </font>
    <font>
      <b/>
      <sz val="11"/>
      <color theme="1"/>
      <name val="宋体"/>
      <charset val="134"/>
    </font>
    <font>
      <sz val="11"/>
      <color rgb="FFC00000"/>
      <name val="Times New Roman"/>
      <charset val="134"/>
    </font>
    <font>
      <sz val="11"/>
      <color rgb="FF000000"/>
      <name val="宋体"/>
      <charset val="134"/>
    </font>
    <font>
      <sz val="11"/>
      <color rgb="FF000000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4" fillId="0" borderId="0" xfId="0" applyFont="1"/>
    <xf numFmtId="0" fontId="5" fillId="0" borderId="0" xfId="0" applyFont="1"/>
    <xf numFmtId="176" fontId="2" fillId="2" borderId="0" xfId="0" applyNumberFormat="1" applyFont="1" applyFill="1"/>
    <xf numFmtId="176" fontId="3" fillId="0" borderId="0" xfId="3" applyNumberFormat="1" applyFont="1" applyAlignment="1"/>
    <xf numFmtId="176" fontId="2" fillId="0" borderId="0" xfId="0" applyNumberFormat="1" applyFont="1"/>
    <xf numFmtId="177" fontId="2" fillId="2" borderId="0" xfId="0" applyNumberFormat="1" applyFont="1" applyFill="1"/>
    <xf numFmtId="0" fontId="3" fillId="2" borderId="0" xfId="0" applyFont="1" applyFill="1"/>
    <xf numFmtId="176" fontId="1" fillId="2" borderId="0" xfId="0" applyNumberFormat="1" applyFont="1" applyFill="1"/>
    <xf numFmtId="176" fontId="1" fillId="0" borderId="0" xfId="3" applyNumberFormat="1" applyFont="1" applyAlignment="1"/>
    <xf numFmtId="176" fontId="1" fillId="0" borderId="0" xfId="0" applyNumberFormat="1" applyFont="1"/>
    <xf numFmtId="0" fontId="1" fillId="2" borderId="0" xfId="0" applyFont="1" applyFill="1"/>
    <xf numFmtId="177" fontId="1" fillId="2" borderId="0" xfId="0" applyNumberFormat="1" applyFont="1" applyFill="1"/>
    <xf numFmtId="177" fontId="2" fillId="0" borderId="0" xfId="0" applyNumberFormat="1" applyFont="1"/>
    <xf numFmtId="2" fontId="3" fillId="0" borderId="0" xfId="0" applyNumberFormat="1" applyFont="1"/>
    <xf numFmtId="0" fontId="6" fillId="0" borderId="0" xfId="0" applyFont="1"/>
    <xf numFmtId="0" fontId="7" fillId="0" borderId="0" xfId="0" applyFont="1"/>
    <xf numFmtId="0" fontId="7" fillId="2" borderId="0" xfId="0" applyFont="1" applyFill="1"/>
    <xf numFmtId="0" fontId="8" fillId="0" borderId="0" xfId="0" applyFont="1"/>
    <xf numFmtId="0" fontId="9" fillId="2" borderId="0" xfId="0" applyFont="1" applyFill="1" applyAlignment="1"/>
    <xf numFmtId="0" fontId="9" fillId="2" borderId="0" xfId="0" applyFont="1" applyFill="1"/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0"/>
  <sheetViews>
    <sheetView zoomScale="81" zoomScaleNormal="81" workbookViewId="0">
      <selection activeCell="I45" sqref="I45"/>
    </sheetView>
  </sheetViews>
  <sheetFormatPr defaultColWidth="9" defaultRowHeight="14"/>
  <cols>
    <col min="1" max="1" width="9" style="2"/>
    <col min="2" max="2" width="21.3583333333333" style="2" customWidth="1"/>
    <col min="3" max="3" width="16" style="2" customWidth="1"/>
    <col min="4" max="4" width="19.3583333333333" style="3" customWidth="1"/>
    <col min="5" max="6" width="17.1416666666667" style="3" customWidth="1"/>
    <col min="7" max="7" width="11.5" style="3" customWidth="1"/>
    <col min="8" max="8" width="13.8583333333333" style="3" customWidth="1"/>
    <col min="9" max="14" width="9" style="3"/>
    <col min="15" max="16" width="11.2083333333333" style="3" customWidth="1"/>
    <col min="17" max="17" width="12.6416666666667" style="3" customWidth="1"/>
    <col min="18" max="16384" width="9" style="3"/>
  </cols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5" t="s">
        <v>6</v>
      </c>
      <c r="H1" s="5" t="s">
        <v>7</v>
      </c>
      <c r="J1" s="6"/>
    </row>
    <row r="2" spans="1:18">
      <c r="A2" s="2">
        <v>2018</v>
      </c>
      <c r="B2" s="2">
        <v>25411</v>
      </c>
      <c r="C2" s="2">
        <v>202332</v>
      </c>
      <c r="D2" s="3">
        <v>10790</v>
      </c>
    </row>
    <row r="3" spans="1:18">
      <c r="A3" s="2">
        <v>2019</v>
      </c>
      <c r="B3" s="2">
        <v>23562</v>
      </c>
      <c r="C3" s="2">
        <v>222992</v>
      </c>
      <c r="D3" s="3">
        <v>10590</v>
      </c>
    </row>
    <row r="4" spans="1:18">
      <c r="A4" s="2">
        <v>2020</v>
      </c>
      <c r="B4" s="2">
        <v>24584</v>
      </c>
      <c r="C4" s="2">
        <v>240900</v>
      </c>
      <c r="D4" s="3">
        <v>10560</v>
      </c>
      <c r="G4" s="11"/>
      <c r="H4" s="11"/>
    </row>
    <row r="5" s="1" customFormat="1" spans="1:18">
      <c r="A5" s="1">
        <v>2021</v>
      </c>
      <c r="B5" s="1">
        <v>25535</v>
      </c>
      <c r="C5" s="1">
        <v>258441</v>
      </c>
      <c r="D5" s="1">
        <v>10540</v>
      </c>
      <c r="E5" s="3">
        <v>60.36</v>
      </c>
      <c r="F5" s="3">
        <v>205.33</v>
      </c>
      <c r="G5" s="15">
        <f t="shared" ref="G5:G24" si="0">B5*D5*15*E5+C5*F5*D5</f>
        <v>802990738246.2</v>
      </c>
      <c r="H5" s="15">
        <f>(G5)/100000000000</f>
        <v>8.029907382462</v>
      </c>
    </row>
    <row r="6" spans="1:18">
      <c r="A6" s="2">
        <v>2022</v>
      </c>
      <c r="B6" s="2">
        <v>26419</v>
      </c>
      <c r="C6" s="2">
        <v>275271</v>
      </c>
      <c r="D6" s="3">
        <v>10530</v>
      </c>
      <c r="E6" s="3">
        <v>42.67227</v>
      </c>
      <c r="F6" s="3">
        <v>189.54605</v>
      </c>
      <c r="G6" s="15">
        <f t="shared" si="0"/>
        <v>727485175425.645</v>
      </c>
      <c r="H6" s="15">
        <f t="shared" ref="H6:H24" si="1">(G6)/100000000000</f>
        <v>7.27485175425645</v>
      </c>
      <c r="J6" s="1"/>
      <c r="K6" s="1"/>
      <c r="L6" s="1"/>
      <c r="M6" s="1"/>
      <c r="O6" s="1"/>
      <c r="P6" s="1"/>
      <c r="Q6" s="1"/>
      <c r="R6" s="1"/>
    </row>
    <row r="7" spans="1:18">
      <c r="A7" s="2">
        <v>2023</v>
      </c>
      <c r="B7" s="2">
        <v>27241</v>
      </c>
      <c r="C7" s="2">
        <v>291214</v>
      </c>
      <c r="D7" s="3">
        <v>10550</v>
      </c>
      <c r="E7" s="3">
        <v>39.9342</v>
      </c>
      <c r="F7" s="3">
        <v>178.8799</v>
      </c>
      <c r="G7" s="15">
        <f t="shared" si="0"/>
        <v>721725967698.38</v>
      </c>
      <c r="H7" s="15">
        <f t="shared" si="1"/>
        <v>7.2172596769838</v>
      </c>
      <c r="J7" s="1"/>
      <c r="K7" s="1"/>
      <c r="L7" s="1"/>
      <c r="M7" s="1"/>
      <c r="O7" s="1"/>
      <c r="P7" s="1"/>
      <c r="Q7" s="1"/>
      <c r="R7" s="1"/>
    </row>
    <row r="8" spans="1:18">
      <c r="A8" s="2">
        <v>2024</v>
      </c>
      <c r="B8" s="2">
        <v>27993</v>
      </c>
      <c r="C8" s="2">
        <v>306166</v>
      </c>
      <c r="D8" s="3">
        <v>10590</v>
      </c>
      <c r="E8" s="3">
        <v>37.98595</v>
      </c>
      <c r="F8" s="3">
        <v>171.22905</v>
      </c>
      <c r="G8" s="15">
        <f t="shared" si="0"/>
        <v>724087266016.054</v>
      </c>
      <c r="H8" s="15">
        <f t="shared" si="1"/>
        <v>7.24087266016054</v>
      </c>
      <c r="J8" s="1"/>
      <c r="K8" s="1"/>
      <c r="L8" s="1"/>
      <c r="M8" s="1"/>
      <c r="O8" s="1"/>
      <c r="P8" s="1"/>
      <c r="Q8" s="1"/>
      <c r="R8" s="1"/>
    </row>
    <row r="9" spans="1:18">
      <c r="A9" s="2">
        <v>2025</v>
      </c>
      <c r="B9" s="2">
        <v>28671</v>
      </c>
      <c r="C9" s="2">
        <v>320049</v>
      </c>
      <c r="D9" s="3">
        <v>10670</v>
      </c>
      <c r="E9" s="3">
        <v>36.52155</v>
      </c>
      <c r="F9" s="3">
        <v>165.22307</v>
      </c>
      <c r="G9" s="15">
        <f t="shared" si="0"/>
        <v>731813886861.691</v>
      </c>
      <c r="H9" s="15">
        <f t="shared" si="1"/>
        <v>7.31813886861691</v>
      </c>
      <c r="J9" s="1"/>
      <c r="K9" s="1"/>
      <c r="L9" s="1"/>
      <c r="M9" s="1"/>
      <c r="O9" s="1"/>
      <c r="P9" s="1"/>
      <c r="Q9" s="1"/>
      <c r="R9" s="1"/>
    </row>
    <row r="10" spans="1:18">
      <c r="A10" s="2">
        <v>2026</v>
      </c>
      <c r="B10" s="2">
        <v>29267</v>
      </c>
      <c r="C10" s="2">
        <v>332813</v>
      </c>
      <c r="D10" s="3">
        <v>10790</v>
      </c>
      <c r="E10" s="3">
        <v>35.33566</v>
      </c>
      <c r="F10" s="3">
        <v>160.34636</v>
      </c>
      <c r="G10" s="15">
        <f t="shared" si="0"/>
        <v>743192374067.694</v>
      </c>
      <c r="H10" s="15">
        <f t="shared" si="1"/>
        <v>7.43192374067694</v>
      </c>
      <c r="J10" s="1"/>
      <c r="K10" s="1"/>
      <c r="L10" s="1"/>
      <c r="M10" s="1"/>
      <c r="O10" s="1"/>
      <c r="P10" s="1"/>
      <c r="Q10" s="1"/>
      <c r="R10" s="1"/>
    </row>
    <row r="11" spans="1:18">
      <c r="A11" s="2">
        <v>2027</v>
      </c>
      <c r="B11" s="2">
        <v>29821</v>
      </c>
      <c r="C11" s="2">
        <v>344472</v>
      </c>
      <c r="D11" s="3">
        <v>10940</v>
      </c>
      <c r="E11" s="3">
        <v>34.24905</v>
      </c>
      <c r="F11" s="3">
        <v>156.69066</v>
      </c>
      <c r="G11" s="15">
        <f t="shared" si="0"/>
        <v>758094507625.034</v>
      </c>
      <c r="H11" s="15">
        <f t="shared" si="1"/>
        <v>7.58094507625034</v>
      </c>
      <c r="J11" s="1"/>
      <c r="K11" s="1"/>
      <c r="L11" s="1"/>
      <c r="M11" s="1"/>
      <c r="O11" s="1"/>
      <c r="P11" s="1"/>
      <c r="Q11" s="1"/>
      <c r="R11" s="1"/>
    </row>
    <row r="12" spans="1:18">
      <c r="A12" s="2">
        <v>2028</v>
      </c>
      <c r="B12" s="2">
        <v>30337</v>
      </c>
      <c r="C12" s="2">
        <v>355083</v>
      </c>
      <c r="D12" s="3">
        <v>11100</v>
      </c>
      <c r="E12" s="3">
        <v>33.334</v>
      </c>
      <c r="F12" s="3">
        <v>153.97254</v>
      </c>
      <c r="G12" s="15">
        <f t="shared" si="0"/>
        <v>775244366178.102</v>
      </c>
      <c r="H12" s="15">
        <f t="shared" si="1"/>
        <v>7.75244366178102</v>
      </c>
      <c r="J12" s="1"/>
      <c r="K12" s="1"/>
      <c r="L12" s="1"/>
      <c r="M12" s="1"/>
      <c r="O12" s="1"/>
      <c r="P12" s="1"/>
      <c r="Q12" s="1"/>
      <c r="R12" s="1"/>
    </row>
    <row r="13" spans="1:18">
      <c r="A13" s="2">
        <v>2029</v>
      </c>
      <c r="B13" s="2">
        <v>30767</v>
      </c>
      <c r="C13" s="2">
        <v>364714</v>
      </c>
      <c r="D13" s="3">
        <v>11270</v>
      </c>
      <c r="E13" s="3">
        <v>32.43809</v>
      </c>
      <c r="F13" s="3">
        <v>151.80099</v>
      </c>
      <c r="G13" s="15">
        <f t="shared" si="0"/>
        <v>792667414403.334</v>
      </c>
      <c r="H13" s="15">
        <f t="shared" si="1"/>
        <v>7.92667414403334</v>
      </c>
      <c r="J13" s="1"/>
      <c r="K13" s="1"/>
      <c r="L13" s="1"/>
      <c r="M13" s="1"/>
      <c r="O13" s="1"/>
      <c r="P13" s="1"/>
      <c r="Q13" s="1"/>
      <c r="R13" s="1"/>
    </row>
    <row r="14" spans="1:18">
      <c r="A14" s="2">
        <v>2030</v>
      </c>
      <c r="B14" s="2">
        <v>31057</v>
      </c>
      <c r="C14" s="2">
        <v>373443</v>
      </c>
      <c r="D14" s="3">
        <v>11440</v>
      </c>
      <c r="E14" s="3">
        <v>31.55315</v>
      </c>
      <c r="F14" s="3">
        <v>149.98153</v>
      </c>
      <c r="G14" s="15">
        <f t="shared" si="0"/>
        <v>808908045099.898</v>
      </c>
      <c r="H14" s="15">
        <f t="shared" si="1"/>
        <v>8.08908045099898</v>
      </c>
      <c r="J14" s="1"/>
      <c r="K14" s="1"/>
      <c r="L14" s="1"/>
      <c r="M14" s="1"/>
      <c r="O14" s="1"/>
      <c r="P14" s="1"/>
      <c r="Q14" s="1"/>
      <c r="R14" s="1"/>
    </row>
    <row r="15" spans="1:18">
      <c r="A15" s="2">
        <v>2031</v>
      </c>
      <c r="B15" s="2">
        <v>31116</v>
      </c>
      <c r="C15" s="2">
        <v>381268</v>
      </c>
      <c r="D15" s="3">
        <v>11620</v>
      </c>
      <c r="E15" s="3">
        <v>30.67267</v>
      </c>
      <c r="F15" s="3">
        <v>148.55958</v>
      </c>
      <c r="G15" s="15">
        <f t="shared" si="0"/>
        <v>824522384460.449</v>
      </c>
      <c r="H15" s="15">
        <f t="shared" si="1"/>
        <v>8.24522384460449</v>
      </c>
      <c r="J15" s="1"/>
      <c r="K15" s="1"/>
      <c r="L15" s="1"/>
      <c r="M15" s="1"/>
      <c r="O15" s="1"/>
      <c r="P15" s="1"/>
      <c r="Q15" s="1"/>
      <c r="R15" s="1"/>
    </row>
    <row r="16" spans="1:18">
      <c r="A16" s="2">
        <v>2032</v>
      </c>
      <c r="B16" s="2">
        <v>31274</v>
      </c>
      <c r="C16" s="2">
        <v>388489</v>
      </c>
      <c r="D16" s="3">
        <v>11780</v>
      </c>
      <c r="E16" s="3">
        <v>29.84067</v>
      </c>
      <c r="F16" s="3">
        <v>147.27796</v>
      </c>
      <c r="G16" s="15">
        <f t="shared" si="0"/>
        <v>838905915970.329</v>
      </c>
      <c r="H16" s="15">
        <f t="shared" si="1"/>
        <v>8.38905915970329</v>
      </c>
      <c r="J16" s="1"/>
      <c r="K16" s="1"/>
      <c r="L16" s="1"/>
      <c r="M16" s="1"/>
      <c r="O16" s="1"/>
      <c r="P16" s="1"/>
      <c r="Q16" s="1"/>
      <c r="R16" s="1"/>
    </row>
    <row r="17" spans="1:18">
      <c r="A17" s="2">
        <v>2033</v>
      </c>
      <c r="B17" s="2">
        <v>31474</v>
      </c>
      <c r="C17" s="2">
        <v>395263</v>
      </c>
      <c r="D17" s="3">
        <v>11940</v>
      </c>
      <c r="E17" s="3">
        <v>28.97158</v>
      </c>
      <c r="F17" s="3">
        <v>146.1221</v>
      </c>
      <c r="G17" s="15">
        <f t="shared" si="0"/>
        <v>852927121018.434</v>
      </c>
      <c r="H17" s="15">
        <f t="shared" si="1"/>
        <v>8.52927121018434</v>
      </c>
      <c r="J17" s="1"/>
      <c r="K17" s="1"/>
      <c r="L17" s="1"/>
      <c r="M17" s="1"/>
      <c r="O17" s="1"/>
      <c r="P17" s="1"/>
      <c r="Q17" s="1"/>
      <c r="R17" s="1"/>
    </row>
    <row r="18" spans="1:18">
      <c r="A18" s="2">
        <v>2034</v>
      </c>
      <c r="B18" s="2">
        <v>31657</v>
      </c>
      <c r="C18" s="2">
        <v>401608</v>
      </c>
      <c r="D18" s="3">
        <v>12100</v>
      </c>
      <c r="E18" s="3">
        <v>28.15421</v>
      </c>
      <c r="F18" s="3">
        <v>145.14329</v>
      </c>
      <c r="G18" s="15">
        <f t="shared" si="0"/>
        <v>867084472978.427</v>
      </c>
      <c r="H18" s="15">
        <f t="shared" si="1"/>
        <v>8.67084472978427</v>
      </c>
      <c r="J18" s="1"/>
      <c r="K18" s="1"/>
      <c r="L18" s="1"/>
      <c r="M18" s="1"/>
      <c r="O18" s="1"/>
      <c r="P18" s="1"/>
      <c r="Q18" s="1"/>
      <c r="R18" s="1"/>
    </row>
    <row r="19" spans="1:18">
      <c r="A19" s="2">
        <v>2035</v>
      </c>
      <c r="B19" s="2">
        <v>31591</v>
      </c>
      <c r="C19" s="2">
        <v>407260</v>
      </c>
      <c r="D19" s="3">
        <v>12250</v>
      </c>
      <c r="E19" s="3">
        <v>27.34673</v>
      </c>
      <c r="F19" s="3">
        <v>144.20036</v>
      </c>
      <c r="G19" s="15">
        <f t="shared" si="0"/>
        <v>878149786106.863</v>
      </c>
      <c r="H19" s="15">
        <f t="shared" si="1"/>
        <v>8.78149786106863</v>
      </c>
      <c r="J19" s="1"/>
      <c r="K19" s="1"/>
      <c r="L19" s="1"/>
      <c r="M19" s="1"/>
      <c r="O19" s="1"/>
      <c r="P19" s="1"/>
      <c r="Q19" s="1"/>
      <c r="R19" s="1"/>
    </row>
    <row r="20" spans="1:18">
      <c r="A20" s="2">
        <v>2036</v>
      </c>
      <c r="B20" s="2">
        <v>31484</v>
      </c>
      <c r="C20" s="2">
        <v>412157</v>
      </c>
      <c r="D20" s="3">
        <v>12400</v>
      </c>
      <c r="E20" s="3">
        <v>26.50942</v>
      </c>
      <c r="F20" s="3">
        <v>143.35048</v>
      </c>
      <c r="G20" s="15">
        <f t="shared" si="0"/>
        <v>887867806684.544</v>
      </c>
      <c r="H20" s="15">
        <f t="shared" si="1"/>
        <v>8.87867806684544</v>
      </c>
      <c r="J20" s="1"/>
      <c r="K20" s="1"/>
      <c r="L20" s="1"/>
      <c r="M20" s="1"/>
      <c r="O20" s="1"/>
      <c r="P20" s="1"/>
      <c r="Q20" s="1"/>
      <c r="R20" s="1"/>
    </row>
    <row r="21" spans="1:18">
      <c r="A21" s="2">
        <v>2037</v>
      </c>
      <c r="B21" s="2">
        <v>31388</v>
      </c>
      <c r="C21" s="2">
        <v>416303</v>
      </c>
      <c r="D21" s="3">
        <v>12540</v>
      </c>
      <c r="E21" s="3">
        <v>25.7279</v>
      </c>
      <c r="F21" s="3">
        <v>142.52768</v>
      </c>
      <c r="G21" s="15">
        <f t="shared" si="0"/>
        <v>895956799488.802</v>
      </c>
      <c r="H21" s="15">
        <f t="shared" si="1"/>
        <v>8.95956799488802</v>
      </c>
      <c r="J21" s="1"/>
      <c r="K21" s="1"/>
      <c r="L21" s="1"/>
      <c r="M21" s="1"/>
      <c r="O21" s="1"/>
      <c r="P21" s="1"/>
      <c r="Q21" s="1"/>
      <c r="R21" s="1"/>
    </row>
    <row r="22" spans="1:18">
      <c r="A22" s="2">
        <v>2038</v>
      </c>
      <c r="B22" s="2">
        <v>31354</v>
      </c>
      <c r="C22" s="2">
        <v>419771</v>
      </c>
      <c r="D22" s="3">
        <v>12700</v>
      </c>
      <c r="E22" s="3">
        <v>25.0017</v>
      </c>
      <c r="F22" s="3">
        <v>141.78611</v>
      </c>
      <c r="G22" s="15">
        <f t="shared" si="0"/>
        <v>905208333189.187</v>
      </c>
      <c r="H22" s="15">
        <f t="shared" si="1"/>
        <v>9.05208333189187</v>
      </c>
      <c r="J22" s="1"/>
      <c r="K22" s="1"/>
      <c r="L22" s="1"/>
      <c r="M22" s="1"/>
      <c r="O22" s="1"/>
      <c r="P22" s="1"/>
      <c r="Q22" s="1"/>
      <c r="R22" s="1"/>
    </row>
    <row r="23" spans="1:18">
      <c r="A23" s="2">
        <v>2039</v>
      </c>
      <c r="B23" s="2">
        <v>31390</v>
      </c>
      <c r="C23" s="2">
        <v>422668</v>
      </c>
      <c r="D23" s="3">
        <v>12840</v>
      </c>
      <c r="E23" s="3">
        <v>24.25185</v>
      </c>
      <c r="F23" s="3">
        <v>141.06451</v>
      </c>
      <c r="G23" s="15">
        <f t="shared" si="0"/>
        <v>912184902445.711</v>
      </c>
      <c r="H23" s="15">
        <f t="shared" si="1"/>
        <v>9.12184902445711</v>
      </c>
      <c r="J23" s="1"/>
      <c r="K23" s="1"/>
      <c r="L23" s="1"/>
      <c r="M23" s="1"/>
      <c r="O23" s="1"/>
      <c r="P23" s="1"/>
      <c r="Q23" s="1"/>
      <c r="R23" s="1"/>
    </row>
    <row r="24" spans="1:18">
      <c r="A24" s="2">
        <v>2040</v>
      </c>
      <c r="B24" s="2">
        <v>31159</v>
      </c>
      <c r="C24" s="2">
        <v>424773</v>
      </c>
      <c r="D24" s="3">
        <v>12990</v>
      </c>
      <c r="E24" s="3">
        <v>23.52094</v>
      </c>
      <c r="F24" s="3">
        <v>140.36127</v>
      </c>
      <c r="G24" s="15">
        <f t="shared" si="0"/>
        <v>917289009564.094</v>
      </c>
      <c r="H24" s="15">
        <f t="shared" si="1"/>
        <v>9.17289009564094</v>
      </c>
      <c r="J24" s="1"/>
      <c r="K24" s="1"/>
      <c r="L24" s="1"/>
      <c r="M24" s="1"/>
      <c r="O24" s="1"/>
      <c r="P24" s="1"/>
      <c r="Q24" s="1"/>
      <c r="R24" s="1"/>
    </row>
    <row r="25" spans="1:18">
      <c r="A25" s="2">
        <v>2041</v>
      </c>
      <c r="B25" s="2">
        <v>31288</v>
      </c>
      <c r="D25" s="3">
        <v>13140</v>
      </c>
    </row>
    <row r="26" spans="1:18">
      <c r="A26" s="2">
        <v>2042</v>
      </c>
      <c r="B26" s="2">
        <v>31331</v>
      </c>
      <c r="D26" s="3">
        <v>13270</v>
      </c>
    </row>
    <row r="27" spans="1:18">
      <c r="A27" s="2">
        <v>2043</v>
      </c>
      <c r="B27" s="2">
        <v>31300</v>
      </c>
      <c r="D27" s="3">
        <v>13390</v>
      </c>
    </row>
    <row r="28" spans="1:18">
      <c r="A28" s="2">
        <v>2044</v>
      </c>
      <c r="B28" s="2">
        <v>31233</v>
      </c>
      <c r="D28" s="3">
        <v>13510</v>
      </c>
      <c r="N28" s="1"/>
    </row>
    <row r="29" spans="1:18">
      <c r="A29" s="2">
        <v>2045</v>
      </c>
      <c r="B29" s="2">
        <v>31117</v>
      </c>
      <c r="D29" s="3">
        <v>13620</v>
      </c>
    </row>
    <row r="30" spans="1:18">
      <c r="A30" s="2">
        <v>2046</v>
      </c>
      <c r="B30" s="2">
        <v>30947</v>
      </c>
      <c r="D30" s="3">
        <v>13720</v>
      </c>
    </row>
    <row r="31" spans="1:18">
      <c r="A31" s="2">
        <v>2047</v>
      </c>
      <c r="B31" s="2">
        <v>30717</v>
      </c>
      <c r="D31" s="3">
        <v>13800</v>
      </c>
    </row>
    <row r="32" spans="1:18">
      <c r="A32" s="2">
        <v>2048</v>
      </c>
      <c r="B32" s="2">
        <v>30435</v>
      </c>
      <c r="D32" s="3">
        <v>13880</v>
      </c>
    </row>
    <row r="33" spans="1:14">
      <c r="A33" s="2">
        <v>2049</v>
      </c>
      <c r="B33" s="2">
        <v>30101</v>
      </c>
      <c r="D33" s="3">
        <v>13950</v>
      </c>
    </row>
    <row r="34" spans="1:14">
      <c r="A34" s="2">
        <v>2050</v>
      </c>
      <c r="B34" s="2">
        <v>29716</v>
      </c>
      <c r="D34" s="3">
        <v>14020</v>
      </c>
      <c r="N34" s="1"/>
    </row>
    <row r="36" spans="1:14">
      <c r="C36" s="19"/>
    </row>
    <row r="40" spans="1:14">
      <c r="B40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69"/>
  <sheetViews>
    <sheetView tabSelected="1" zoomScale="70" zoomScaleNormal="70" topLeftCell="AE1" workbookViewId="0">
      <selection activeCell="AH6" sqref="AH6"/>
    </sheetView>
  </sheetViews>
  <sheetFormatPr defaultColWidth="9" defaultRowHeight="14"/>
  <cols>
    <col min="1" max="1" width="9" style="2"/>
    <col min="2" max="2" width="23.1416666666667" style="2" customWidth="1"/>
    <col min="3" max="3" width="18.8583333333333" style="2" customWidth="1"/>
    <col min="4" max="4" width="17" style="2" customWidth="1"/>
    <col min="5" max="5" width="18.5" style="2" customWidth="1"/>
    <col min="6" max="6" width="16.8583333333333" style="2" customWidth="1"/>
    <col min="7" max="7" width="16" style="2" customWidth="1"/>
    <col min="8" max="10" width="18.8583333333333" style="2" customWidth="1"/>
    <col min="11" max="11" width="19.3583333333333" style="2" customWidth="1"/>
    <col min="12" max="12" width="18.7083333333333" style="2" customWidth="1"/>
    <col min="13" max="18" width="18" style="2" customWidth="1"/>
    <col min="19" max="20" width="20.7083333333333" style="2" customWidth="1"/>
    <col min="21" max="25" width="18" style="2" customWidth="1"/>
    <col min="26" max="31" width="20.7083333333333" style="2" customWidth="1"/>
    <col min="32" max="33" width="18" style="2" customWidth="1"/>
    <col min="34" max="34" width="21" style="2" customWidth="1"/>
    <col min="35" max="35" width="22.6416666666667" style="2" customWidth="1"/>
    <col min="36" max="41" width="20.7083333333333" style="2" customWidth="1"/>
    <col min="42" max="45" width="18" style="2" customWidth="1"/>
    <col min="46" max="46" width="19" style="3" customWidth="1"/>
    <col min="47" max="49" width="19.3583333333333" style="3" customWidth="1"/>
    <col min="50" max="50" width="21.3583333333333" style="3" customWidth="1"/>
    <col min="51" max="54" width="17.1416666666667" style="3" customWidth="1"/>
    <col min="55" max="55" width="13.1416666666667" style="3" customWidth="1"/>
    <col min="56" max="56" width="15.8583333333333" style="3" customWidth="1"/>
    <col min="57" max="57" width="11.7833333333333" style="3" customWidth="1"/>
    <col min="58" max="58" width="13.8583333333333" style="3" customWidth="1"/>
    <col min="59" max="64" width="9" style="3"/>
    <col min="65" max="65" width="14.7083333333333" style="3" customWidth="1"/>
    <col min="66" max="67" width="9" style="3"/>
    <col min="68" max="68" width="12.6416666666667" style="3" customWidth="1"/>
    <col min="69" max="69" width="12.2083333333333" style="3" customWidth="1"/>
    <col min="70" max="71" width="11.2083333333333" style="3" customWidth="1"/>
    <col min="72" max="72" width="12.6416666666667" style="3" customWidth="1"/>
    <col min="73" max="73" width="16" style="3" customWidth="1"/>
    <col min="74" max="74" width="13.3583333333333" style="3" customWidth="1"/>
    <col min="75" max="16384" width="9" style="3"/>
  </cols>
  <sheetData>
    <row r="1" s="5" customFormat="1" spans="1:70">
      <c r="A1" s="20" t="s">
        <v>0</v>
      </c>
      <c r="B1" s="20" t="s">
        <v>1</v>
      </c>
      <c r="C1" s="21" t="s">
        <v>8</v>
      </c>
      <c r="D1" s="20" t="s">
        <v>9</v>
      </c>
      <c r="E1" s="20" t="s">
        <v>10</v>
      </c>
      <c r="F1" s="20" t="s">
        <v>11</v>
      </c>
      <c r="G1" s="20" t="s">
        <v>2</v>
      </c>
      <c r="H1" s="21" t="s">
        <v>12</v>
      </c>
      <c r="I1" s="20" t="s">
        <v>13</v>
      </c>
      <c r="J1" s="20" t="s">
        <v>14</v>
      </c>
      <c r="K1" s="20" t="s">
        <v>15</v>
      </c>
      <c r="L1" s="5" t="s">
        <v>16</v>
      </c>
      <c r="M1" s="5" t="s">
        <v>17</v>
      </c>
      <c r="N1" s="20" t="s">
        <v>18</v>
      </c>
      <c r="O1" s="20" t="s">
        <v>19</v>
      </c>
      <c r="P1" s="21" t="s">
        <v>20</v>
      </c>
      <c r="Q1" s="21" t="s">
        <v>21</v>
      </c>
      <c r="R1" s="21" t="s">
        <v>22</v>
      </c>
      <c r="S1" s="21" t="s">
        <v>23</v>
      </c>
      <c r="T1" s="21" t="s">
        <v>24</v>
      </c>
      <c r="U1" s="21" t="s">
        <v>25</v>
      </c>
      <c r="V1" s="21" t="s">
        <v>26</v>
      </c>
      <c r="W1" s="21" t="s">
        <v>27</v>
      </c>
      <c r="X1" s="20" t="s">
        <v>28</v>
      </c>
      <c r="Y1" s="5" t="s">
        <v>29</v>
      </c>
      <c r="Z1" s="21" t="s">
        <v>30</v>
      </c>
      <c r="AA1" s="21" t="s">
        <v>31</v>
      </c>
      <c r="AB1" s="21" t="s">
        <v>32</v>
      </c>
      <c r="AC1" s="21" t="s">
        <v>33</v>
      </c>
      <c r="AD1" s="21" t="s">
        <v>34</v>
      </c>
      <c r="AE1" s="21" t="s">
        <v>35</v>
      </c>
      <c r="AF1" s="21" t="s">
        <v>36</v>
      </c>
      <c r="AG1" s="21" t="s">
        <v>37</v>
      </c>
      <c r="AH1" s="5" t="s">
        <v>38</v>
      </c>
      <c r="AI1" s="5" t="s">
        <v>39</v>
      </c>
      <c r="AJ1" s="21" t="s">
        <v>40</v>
      </c>
      <c r="AK1" s="21" t="s">
        <v>41</v>
      </c>
      <c r="AL1" s="21" t="s">
        <v>42</v>
      </c>
      <c r="AM1" s="21" t="s">
        <v>43</v>
      </c>
      <c r="AN1" s="21" t="s">
        <v>44</v>
      </c>
      <c r="AO1" s="21" t="s">
        <v>45</v>
      </c>
      <c r="AP1" s="21" t="s">
        <v>46</v>
      </c>
      <c r="AQ1" s="21" t="s">
        <v>47</v>
      </c>
      <c r="AR1" s="21" t="s">
        <v>48</v>
      </c>
      <c r="AS1" s="21" t="s">
        <v>49</v>
      </c>
      <c r="AT1" s="20" t="s">
        <v>50</v>
      </c>
      <c r="AU1" s="20" t="s">
        <v>3</v>
      </c>
      <c r="AV1" s="21" t="s">
        <v>51</v>
      </c>
      <c r="AW1" s="2" t="s">
        <v>52</v>
      </c>
      <c r="AX1" s="2" t="s">
        <v>53</v>
      </c>
      <c r="AY1" s="2" t="s">
        <v>4</v>
      </c>
      <c r="AZ1" s="2" t="s">
        <v>54</v>
      </c>
      <c r="BA1" s="2" t="s">
        <v>55</v>
      </c>
      <c r="BB1" s="2" t="s">
        <v>5</v>
      </c>
      <c r="BC1" s="5" t="s">
        <v>56</v>
      </c>
      <c r="BD1" s="5" t="s">
        <v>57</v>
      </c>
      <c r="BE1" s="5" t="s">
        <v>6</v>
      </c>
      <c r="BF1" s="5" t="s">
        <v>7</v>
      </c>
      <c r="BM1" s="22"/>
      <c r="BR1" s="22"/>
    </row>
    <row r="2" spans="1:70">
      <c r="A2" s="2">
        <v>2018</v>
      </c>
      <c r="B2" s="2">
        <v>25411</v>
      </c>
      <c r="C2" s="4"/>
      <c r="G2" s="2">
        <v>202332</v>
      </c>
      <c r="H2" s="4"/>
      <c r="P2" s="4"/>
      <c r="Q2" s="4"/>
      <c r="R2" s="4"/>
      <c r="S2" s="4"/>
      <c r="T2" s="4"/>
      <c r="U2" s="4"/>
      <c r="V2" s="4"/>
      <c r="W2" s="4"/>
      <c r="Z2" s="4"/>
      <c r="AA2" s="4"/>
      <c r="AB2" s="4"/>
      <c r="AC2" s="4"/>
      <c r="AD2" s="4"/>
      <c r="AE2" s="4"/>
      <c r="AF2" s="4"/>
      <c r="AG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3">
        <f t="shared" ref="AT2:AT34" si="0">AU2*(1+AV2)</f>
        <v>12663.144</v>
      </c>
      <c r="AU2" s="3">
        <v>10790</v>
      </c>
      <c r="AV2" s="23">
        <v>0.1736</v>
      </c>
      <c r="AW2" s="2"/>
    </row>
    <row r="3" spans="1:70">
      <c r="A3" s="2">
        <v>2019</v>
      </c>
      <c r="B3" s="2">
        <v>23562</v>
      </c>
      <c r="C3" s="7">
        <f t="shared" ref="C3:C24" si="1">1-F3</f>
        <v>0.0419803617851</v>
      </c>
      <c r="D3" s="8">
        <v>0.032599898876045</v>
      </c>
      <c r="E3" s="8">
        <v>0.00938046290905463</v>
      </c>
      <c r="F3" s="9">
        <v>0.9580196382149</v>
      </c>
      <c r="G3" s="2">
        <v>222992</v>
      </c>
      <c r="H3" s="4">
        <f t="shared" ref="H3:H24" si="2">I3+J3</f>
        <v>3761.60572462367</v>
      </c>
      <c r="I3" s="2">
        <v>2938.92945136004</v>
      </c>
      <c r="J3" s="2">
        <v>822.676273263626</v>
      </c>
      <c r="K3" s="2">
        <v>219230.550413899</v>
      </c>
      <c r="L3" s="17">
        <v>989.141284380516</v>
      </c>
      <c r="M3" s="17"/>
      <c r="N3" s="2">
        <v>768.118817317372</v>
      </c>
      <c r="P3" s="4"/>
      <c r="Q3" s="4"/>
      <c r="R3" s="4"/>
      <c r="S3" s="4"/>
      <c r="T3" s="4"/>
      <c r="U3" s="4"/>
      <c r="V3" s="4"/>
      <c r="W3" s="4"/>
      <c r="X3" s="2">
        <v>221.022467063145</v>
      </c>
      <c r="Z3" s="4"/>
      <c r="AA3" s="4"/>
      <c r="AB3" s="4"/>
      <c r="AC3" s="4"/>
      <c r="AD3" s="4"/>
      <c r="AE3" s="4"/>
      <c r="AF3" s="4"/>
      <c r="AG3" s="4"/>
      <c r="AH3" s="2">
        <v>22572.8587156195</v>
      </c>
      <c r="AJ3" s="4"/>
      <c r="AK3" s="4"/>
      <c r="AL3" s="4"/>
      <c r="AM3" s="4"/>
      <c r="AN3" s="4"/>
      <c r="AO3" s="4"/>
      <c r="AP3" s="4"/>
      <c r="AQ3" s="4"/>
      <c r="AR3" s="4"/>
      <c r="AS3" s="4"/>
      <c r="AT3" s="3">
        <f t="shared" si="0"/>
        <v>12428.424</v>
      </c>
      <c r="AU3" s="3">
        <v>10590</v>
      </c>
      <c r="AV3" s="23">
        <v>0.1736</v>
      </c>
      <c r="AW3" s="2"/>
    </row>
    <row r="4" spans="1:70">
      <c r="A4" s="2">
        <v>2020</v>
      </c>
      <c r="B4" s="2">
        <v>24584</v>
      </c>
      <c r="C4" s="7">
        <f t="shared" si="1"/>
        <v>0.048418717521153</v>
      </c>
      <c r="D4" s="8">
        <v>0.032875363716192</v>
      </c>
      <c r="E4" s="8">
        <v>0.015543353804961</v>
      </c>
      <c r="F4" s="9">
        <v>0.951581282478847</v>
      </c>
      <c r="G4" s="2">
        <v>240900</v>
      </c>
      <c r="H4" s="4">
        <f t="shared" si="2"/>
        <v>4933.52636113495</v>
      </c>
      <c r="I4" s="2">
        <v>3737.50948282408</v>
      </c>
      <c r="J4" s="2">
        <v>1196.01687831087</v>
      </c>
      <c r="K4" s="2">
        <v>235966.222289356</v>
      </c>
      <c r="L4" s="17">
        <v>1190.32575154003</v>
      </c>
      <c r="M4" s="17">
        <v>18.4051150287432</v>
      </c>
      <c r="N4" s="2">
        <v>808.207941598863</v>
      </c>
      <c r="O4" s="2">
        <v>9.62791013482638</v>
      </c>
      <c r="P4" s="4">
        <f t="shared" ref="P4:P24" si="3">N4-O4</f>
        <v>798.580031464037</v>
      </c>
      <c r="Q4" s="4">
        <f t="shared" ref="Q4:Q24" si="4">(AS4-AK4)*(D4/(D4+E4))</f>
        <v>0</v>
      </c>
      <c r="R4" s="4">
        <f t="shared" ref="R4:R24" si="5">P4+Q4</f>
        <v>798.580031464037</v>
      </c>
      <c r="S4" s="4">
        <f t="shared" ref="S4:S24" si="6">I3+R4+O4</f>
        <v>3747.1373929589</v>
      </c>
      <c r="T4" s="4">
        <f t="shared" ref="T4:T24" si="7">O4/(I4+O4)</f>
        <v>0.00256940408774917</v>
      </c>
      <c r="U4" s="24">
        <f t="shared" ref="U4:U24" si="8">0.65%*AV4/1%</f>
        <v>0.11284</v>
      </c>
      <c r="V4" s="4">
        <f t="shared" ref="V4:V24" si="9">S4*T4*(1+U4)</f>
        <v>10.7143235144402</v>
      </c>
      <c r="W4" s="4">
        <f t="shared" ref="W4:W24" si="10">S4-V4</f>
        <v>3736.42306944446</v>
      </c>
      <c r="X4" s="2">
        <v>382.117809941162</v>
      </c>
      <c r="Y4" s="2">
        <v>8.77720489391663</v>
      </c>
      <c r="Z4" s="4">
        <f t="shared" ref="Z4:Z24" si="11">X4-Y4</f>
        <v>373.340605047245</v>
      </c>
      <c r="AA4" s="4">
        <f t="shared" ref="AA4:AA24" si="12">(AS4-AK4)*(E4/(E4+D4))</f>
        <v>0</v>
      </c>
      <c r="AB4" s="4">
        <f t="shared" ref="AB4:AB24" si="13">Z4+AA4</f>
        <v>373.340605047245</v>
      </c>
      <c r="AC4" s="4">
        <f t="shared" ref="AC4:AC24" si="14">J3+AB4+Y4</f>
        <v>1204.79408320479</v>
      </c>
      <c r="AD4" s="4">
        <f t="shared" ref="AD4:AD24" si="15">Y4/(J4+Y4)</f>
        <v>0.00728523240300867</v>
      </c>
      <c r="AE4" s="24">
        <f t="shared" ref="AE4:AE24" si="16">0.65%*AV4/1%</f>
        <v>0.11284</v>
      </c>
      <c r="AF4" s="4">
        <f t="shared" ref="AF4:AF24" si="17">AC4*AD4*(1+AE4)</f>
        <v>9.76762469414622</v>
      </c>
      <c r="AG4" s="4">
        <f t="shared" ref="AG4:AG24" si="18">AC4-AF4</f>
        <v>1195.02645851064</v>
      </c>
      <c r="AH4" s="2">
        <v>23393.67424846</v>
      </c>
      <c r="AI4" s="2">
        <v>6658.00237300285</v>
      </c>
      <c r="AJ4" s="24">
        <v>0</v>
      </c>
      <c r="AK4" s="4">
        <f t="shared" ref="AK4:AK24" si="19">AH4*AJ4</f>
        <v>0</v>
      </c>
      <c r="AL4" s="4">
        <f t="shared" ref="AL4:AL24" si="20">AH4*(1+AJ4)</f>
        <v>23393.67424846</v>
      </c>
      <c r="AM4" s="4">
        <f t="shared" ref="AM4:AM24" si="21">K3+AL4</f>
        <v>242624.224662359</v>
      </c>
      <c r="AN4" s="4">
        <f t="shared" ref="AN4:AN24" si="22">AI4/(AI4+K4)</f>
        <v>0.0274416224606932</v>
      </c>
      <c r="AO4" s="4">
        <v>0</v>
      </c>
      <c r="AP4" s="4">
        <f t="shared" ref="AP4:AP24" si="23">AM4*AN4*(1+AO4)</f>
        <v>6658.00237300285</v>
      </c>
      <c r="AQ4" s="4">
        <f t="shared" ref="AQ4:AQ24" si="24">AM4-AP4</f>
        <v>235966.222289356</v>
      </c>
      <c r="AR4" s="15">
        <v>0</v>
      </c>
      <c r="AS4" s="4">
        <f t="shared" ref="AS4:AS24" si="25">B4*(AR4)</f>
        <v>0</v>
      </c>
      <c r="AT4" s="3">
        <f t="shared" si="0"/>
        <v>12393.216</v>
      </c>
      <c r="AU4" s="3">
        <v>10560</v>
      </c>
      <c r="AV4" s="23">
        <v>0.1736</v>
      </c>
      <c r="AW4" s="2"/>
      <c r="BC4" s="11"/>
      <c r="BD4" s="11"/>
      <c r="BE4" s="11"/>
      <c r="BF4" s="11"/>
    </row>
    <row r="5" spans="1:70">
      <c r="A5" s="2">
        <v>2021</v>
      </c>
      <c r="B5" s="2">
        <v>25535</v>
      </c>
      <c r="C5" s="7">
        <f t="shared" si="1"/>
        <v>0.085303071443216</v>
      </c>
      <c r="D5" s="8">
        <v>0.0625742701882644</v>
      </c>
      <c r="E5" s="8">
        <v>0.0227288012549521</v>
      </c>
      <c r="F5" s="9">
        <v>0.914696928556784</v>
      </c>
      <c r="G5" s="2">
        <v>258441</v>
      </c>
      <c r="H5" s="4">
        <f t="shared" si="2"/>
        <v>7077.55008760057</v>
      </c>
      <c r="I5" s="2">
        <v>5305.87445977142</v>
      </c>
      <c r="J5" s="2">
        <v>1771.67562782915</v>
      </c>
      <c r="K5" s="2">
        <v>251363.517513367</v>
      </c>
      <c r="L5" s="17">
        <v>2178.21392930253</v>
      </c>
      <c r="M5" s="17">
        <v>34.1902028369113</v>
      </c>
      <c r="N5" s="2">
        <v>1597.83398925733</v>
      </c>
      <c r="O5" s="2">
        <v>29.4690123099899</v>
      </c>
      <c r="P5" s="4">
        <f t="shared" si="3"/>
        <v>1568.36497694734</v>
      </c>
      <c r="Q5" s="4">
        <f t="shared" si="4"/>
        <v>0</v>
      </c>
      <c r="R5" s="4">
        <f t="shared" si="5"/>
        <v>1568.36497694734</v>
      </c>
      <c r="S5" s="4">
        <f t="shared" si="6"/>
        <v>5335.34347208141</v>
      </c>
      <c r="T5" s="4">
        <f t="shared" si="7"/>
        <v>0.00552335804886682</v>
      </c>
      <c r="U5" s="24">
        <f t="shared" si="8"/>
        <v>0.11284</v>
      </c>
      <c r="V5" s="4">
        <f t="shared" si="9"/>
        <v>32.7942956590492</v>
      </c>
      <c r="W5" s="4">
        <f t="shared" si="10"/>
        <v>5302.54917642236</v>
      </c>
      <c r="X5" s="2">
        <v>580.379940045201</v>
      </c>
      <c r="Y5" s="2">
        <v>4.72119052692278</v>
      </c>
      <c r="Z5" s="4">
        <f t="shared" si="11"/>
        <v>575.658749518278</v>
      </c>
      <c r="AA5" s="4">
        <f t="shared" si="12"/>
        <v>0</v>
      </c>
      <c r="AB5" s="4">
        <f t="shared" si="13"/>
        <v>575.658749518278</v>
      </c>
      <c r="AC5" s="4">
        <f t="shared" si="14"/>
        <v>1776.39681835607</v>
      </c>
      <c r="AD5" s="4">
        <f t="shared" si="15"/>
        <v>0.00265773417185688</v>
      </c>
      <c r="AE5" s="24">
        <f t="shared" si="16"/>
        <v>0.11284</v>
      </c>
      <c r="AF5" s="4">
        <f t="shared" si="17"/>
        <v>5.25392966598073</v>
      </c>
      <c r="AG5" s="4">
        <f t="shared" si="18"/>
        <v>1771.14288869009</v>
      </c>
      <c r="AH5" s="2">
        <v>23356.7860706975</v>
      </c>
      <c r="AI5" s="2">
        <v>7959.49084668668</v>
      </c>
      <c r="AJ5" s="24">
        <v>0</v>
      </c>
      <c r="AK5" s="4">
        <f t="shared" si="19"/>
        <v>0</v>
      </c>
      <c r="AL5" s="4">
        <f t="shared" si="20"/>
        <v>23356.7860706975</v>
      </c>
      <c r="AM5" s="4">
        <f t="shared" si="21"/>
        <v>259323.008360053</v>
      </c>
      <c r="AN5" s="4">
        <f t="shared" si="22"/>
        <v>0.03069334609768</v>
      </c>
      <c r="AO5" s="4">
        <v>0</v>
      </c>
      <c r="AP5" s="4">
        <f t="shared" si="23"/>
        <v>7959.49084668667</v>
      </c>
      <c r="AQ5" s="4">
        <f t="shared" si="24"/>
        <v>251363.517513367</v>
      </c>
      <c r="AR5" s="15">
        <v>0</v>
      </c>
      <c r="AS5" s="4">
        <f t="shared" si="25"/>
        <v>0</v>
      </c>
      <c r="AT5" s="3">
        <f t="shared" si="0"/>
        <v>12369.744</v>
      </c>
      <c r="AU5" s="3">
        <v>10540</v>
      </c>
      <c r="AV5" s="23">
        <v>0.1736</v>
      </c>
      <c r="AW5" s="1">
        <v>69.96</v>
      </c>
      <c r="AX5" s="1">
        <v>87.12</v>
      </c>
      <c r="AY5" s="1">
        <v>60.36</v>
      </c>
      <c r="AZ5" s="1">
        <v>81.15</v>
      </c>
      <c r="BA5" s="1">
        <v>127.98</v>
      </c>
      <c r="BB5" s="3">
        <v>205.33</v>
      </c>
      <c r="BC5" s="15">
        <f t="shared" ref="BC5:BC24" si="26">AW5*15*AT5*(N5+Q5)+W5*AZ5*AT5</f>
        <v>26063902314.2707</v>
      </c>
      <c r="BD5" s="15">
        <f t="shared" ref="BD5:BD24" si="27">AT5*15*AX5*AB5+AG5*AT5*BA5</f>
        <v>12109258476.7831</v>
      </c>
      <c r="BE5" s="15">
        <f t="shared" ref="BE5:BE24" si="28">AU5*15*AY5*AL5+AQ5*AU5*BB5</f>
        <v>766887292380.383</v>
      </c>
      <c r="BF5" s="15">
        <f t="shared" ref="BF5:BF24" si="29">(BE5+BD5+BC5)/100000000000</f>
        <v>8.05060453171437</v>
      </c>
    </row>
    <row r="6" spans="1:70">
      <c r="A6" s="2">
        <v>2022</v>
      </c>
      <c r="B6" s="2">
        <v>26419</v>
      </c>
      <c r="C6" s="7">
        <f t="shared" si="1"/>
        <v>0.094837247323858</v>
      </c>
      <c r="D6" s="8">
        <v>0.0714844983147803</v>
      </c>
      <c r="E6" s="8">
        <v>0.0233527490090781</v>
      </c>
      <c r="F6" s="9">
        <v>0.905162752676142</v>
      </c>
      <c r="G6" s="2">
        <v>275271</v>
      </c>
      <c r="H6" s="4">
        <f t="shared" si="2"/>
        <v>9519.25801058289</v>
      </c>
      <c r="I6" s="2">
        <v>7133.62247037181</v>
      </c>
      <c r="J6" s="2">
        <v>2385.63554021108</v>
      </c>
      <c r="K6" s="2">
        <v>265751.540156694</v>
      </c>
      <c r="L6" s="17">
        <v>2505.50523704901</v>
      </c>
      <c r="M6" s="17">
        <v>63.7973140666927</v>
      </c>
      <c r="N6" s="2">
        <v>1888.54896097818</v>
      </c>
      <c r="O6" s="2">
        <v>60.8009503777894</v>
      </c>
      <c r="P6" s="4">
        <f t="shared" si="3"/>
        <v>1827.74801060039</v>
      </c>
      <c r="Q6" s="4">
        <f t="shared" si="4"/>
        <v>0</v>
      </c>
      <c r="R6" s="4">
        <f t="shared" si="5"/>
        <v>1827.74801060039</v>
      </c>
      <c r="S6" s="4">
        <f t="shared" si="6"/>
        <v>7194.4234207496</v>
      </c>
      <c r="T6" s="4">
        <f t="shared" si="7"/>
        <v>0.00845112204578229</v>
      </c>
      <c r="U6" s="24">
        <f t="shared" si="8"/>
        <v>0.11284</v>
      </c>
      <c r="V6" s="4">
        <f t="shared" si="9"/>
        <v>67.6617296184191</v>
      </c>
      <c r="W6" s="4">
        <f t="shared" si="10"/>
        <v>7126.76169113118</v>
      </c>
      <c r="X6" s="2">
        <v>616.956276070835</v>
      </c>
      <c r="Y6" s="2">
        <v>2.99636368890333</v>
      </c>
      <c r="Z6" s="4">
        <f t="shared" si="11"/>
        <v>613.959912381932</v>
      </c>
      <c r="AA6" s="4">
        <f t="shared" si="12"/>
        <v>0</v>
      </c>
      <c r="AB6" s="4">
        <f t="shared" si="13"/>
        <v>613.959912381932</v>
      </c>
      <c r="AC6" s="4">
        <f t="shared" si="14"/>
        <v>2388.63190389998</v>
      </c>
      <c r="AD6" s="4">
        <f t="shared" si="15"/>
        <v>0.00125442672184487</v>
      </c>
      <c r="AE6" s="24">
        <f t="shared" si="16"/>
        <v>0.11284</v>
      </c>
      <c r="AF6" s="4">
        <f t="shared" si="17"/>
        <v>3.33447336755917</v>
      </c>
      <c r="AG6" s="4">
        <f t="shared" si="18"/>
        <v>2385.29743053242</v>
      </c>
      <c r="AH6" s="2">
        <v>23913.494762951</v>
      </c>
      <c r="AI6" s="2">
        <v>9525.47211962473</v>
      </c>
      <c r="AJ6" s="24">
        <v>0</v>
      </c>
      <c r="AK6" s="4">
        <f t="shared" si="19"/>
        <v>0</v>
      </c>
      <c r="AL6" s="4">
        <f t="shared" si="20"/>
        <v>23913.494762951</v>
      </c>
      <c r="AM6" s="4">
        <f t="shared" si="21"/>
        <v>275277.012276318</v>
      </c>
      <c r="AN6" s="4">
        <f t="shared" si="22"/>
        <v>0.0346032240064536</v>
      </c>
      <c r="AO6" s="4">
        <v>0</v>
      </c>
      <c r="AP6" s="4">
        <f t="shared" si="23"/>
        <v>9525.4721196247</v>
      </c>
      <c r="AQ6" s="4">
        <f t="shared" si="24"/>
        <v>265751.540156693</v>
      </c>
      <c r="AR6" s="15">
        <v>0</v>
      </c>
      <c r="AS6" s="4">
        <f t="shared" si="25"/>
        <v>0</v>
      </c>
      <c r="AT6" s="3">
        <f t="shared" si="0"/>
        <v>12358.008</v>
      </c>
      <c r="AU6" s="3">
        <v>10530</v>
      </c>
      <c r="AV6" s="23">
        <v>0.1736</v>
      </c>
      <c r="AW6" s="2">
        <v>63.50439</v>
      </c>
      <c r="AX6" s="3">
        <v>68.62355</v>
      </c>
      <c r="AY6" s="3">
        <v>46.44221</v>
      </c>
      <c r="AZ6" s="3">
        <v>75.00653</v>
      </c>
      <c r="BA6" s="3">
        <v>119.99232</v>
      </c>
      <c r="BB6" s="3">
        <v>193.29066</v>
      </c>
      <c r="BC6" s="15">
        <f t="shared" si="26"/>
        <v>28837670084.6923</v>
      </c>
      <c r="BD6" s="15">
        <f t="shared" si="27"/>
        <v>11347110634.0542</v>
      </c>
      <c r="BE6" s="15">
        <f t="shared" si="28"/>
        <v>716316136373.145</v>
      </c>
      <c r="BF6" s="11">
        <f t="shared" si="29"/>
        <v>7.56500917091891</v>
      </c>
    </row>
    <row r="7" spans="1:70">
      <c r="A7" s="2">
        <v>2023</v>
      </c>
      <c r="B7" s="2">
        <v>27241</v>
      </c>
      <c r="C7" s="7">
        <f t="shared" si="1"/>
        <v>0.113208921785586</v>
      </c>
      <c r="D7" s="8">
        <v>0.085150312799082</v>
      </c>
      <c r="E7" s="8">
        <v>0.0280586089865036</v>
      </c>
      <c r="F7" s="9">
        <v>0.886791078214414</v>
      </c>
      <c r="G7" s="2">
        <v>291214</v>
      </c>
      <c r="H7" s="4">
        <f t="shared" si="2"/>
        <v>12461.0783897459</v>
      </c>
      <c r="I7" s="2">
        <v>9313.60419080649</v>
      </c>
      <c r="J7" s="2">
        <v>3147.47419893943</v>
      </c>
      <c r="K7" s="2">
        <v>278752.829191179</v>
      </c>
      <c r="L7" s="17">
        <v>3083.92423836114</v>
      </c>
      <c r="M7" s="17">
        <v>142.103859198116</v>
      </c>
      <c r="N7" s="2">
        <v>2319.57967095979</v>
      </c>
      <c r="O7" s="2">
        <v>139.597950525118</v>
      </c>
      <c r="P7" s="4">
        <f t="shared" si="3"/>
        <v>2179.98172043467</v>
      </c>
      <c r="Q7" s="4">
        <f t="shared" si="4"/>
        <v>0</v>
      </c>
      <c r="R7" s="4">
        <f t="shared" si="5"/>
        <v>2179.98172043467</v>
      </c>
      <c r="S7" s="4">
        <f t="shared" si="6"/>
        <v>9453.2021413316</v>
      </c>
      <c r="T7" s="4">
        <f t="shared" si="7"/>
        <v>0.0147672659949546</v>
      </c>
      <c r="U7" s="24">
        <f t="shared" si="8"/>
        <v>0.11284</v>
      </c>
      <c r="V7" s="4">
        <f t="shared" si="9"/>
        <v>155.350183262372</v>
      </c>
      <c r="W7" s="4">
        <f t="shared" si="10"/>
        <v>9297.85195806923</v>
      </c>
      <c r="X7" s="2">
        <v>764.344567401344</v>
      </c>
      <c r="Y7" s="2">
        <v>2.50590867299798</v>
      </c>
      <c r="Z7" s="4">
        <f t="shared" si="11"/>
        <v>761.838658728346</v>
      </c>
      <c r="AA7" s="4">
        <f t="shared" si="12"/>
        <v>0</v>
      </c>
      <c r="AB7" s="4">
        <f t="shared" si="13"/>
        <v>761.838658728346</v>
      </c>
      <c r="AC7" s="4">
        <f t="shared" si="14"/>
        <v>3149.98010761242</v>
      </c>
      <c r="AD7" s="4">
        <f t="shared" si="15"/>
        <v>0.000795531586673215</v>
      </c>
      <c r="AE7" s="24">
        <f t="shared" si="16"/>
        <v>0.11284</v>
      </c>
      <c r="AF7" s="4">
        <f t="shared" si="17"/>
        <v>2.78867540765906</v>
      </c>
      <c r="AG7" s="4">
        <f t="shared" si="18"/>
        <v>3147.19143220476</v>
      </c>
      <c r="AH7" s="2">
        <v>24157.0757616389</v>
      </c>
      <c r="AI7" s="2">
        <v>11155.7867271539</v>
      </c>
      <c r="AJ7" s="24">
        <v>0</v>
      </c>
      <c r="AK7" s="4">
        <f t="shared" si="19"/>
        <v>0</v>
      </c>
      <c r="AL7" s="4">
        <f t="shared" si="20"/>
        <v>24157.0757616389</v>
      </c>
      <c r="AM7" s="4">
        <f t="shared" si="21"/>
        <v>289908.615918333</v>
      </c>
      <c r="AN7" s="4">
        <f t="shared" si="22"/>
        <v>0.038480355928078</v>
      </c>
      <c r="AO7" s="4">
        <v>0</v>
      </c>
      <c r="AP7" s="4">
        <f t="shared" si="23"/>
        <v>11155.7867271539</v>
      </c>
      <c r="AQ7" s="4">
        <f t="shared" si="24"/>
        <v>278752.829191179</v>
      </c>
      <c r="AR7" s="15">
        <v>0</v>
      </c>
      <c r="AS7" s="4">
        <f t="shared" si="25"/>
        <v>0</v>
      </c>
      <c r="AT7" s="3">
        <f t="shared" si="0"/>
        <v>12381.48</v>
      </c>
      <c r="AU7" s="3">
        <v>10550</v>
      </c>
      <c r="AV7" s="23">
        <v>0.1736</v>
      </c>
      <c r="AW7" s="2">
        <v>58.60798</v>
      </c>
      <c r="AX7" s="3">
        <v>64.11265</v>
      </c>
      <c r="AY7" s="3">
        <v>43.40028</v>
      </c>
      <c r="AZ7" s="3">
        <v>68.55456</v>
      </c>
      <c r="BA7" s="3">
        <v>111.48886</v>
      </c>
      <c r="BB7" s="3">
        <v>184.10518</v>
      </c>
      <c r="BC7" s="15">
        <f t="shared" si="26"/>
        <v>33140248745.2935</v>
      </c>
      <c r="BD7" s="15">
        <f t="shared" si="27"/>
        <v>13415695295.4178</v>
      </c>
      <c r="BE7" s="15">
        <f t="shared" si="28"/>
        <v>707337384408.827</v>
      </c>
      <c r="BF7" s="11">
        <f t="shared" si="29"/>
        <v>7.53893328449538</v>
      </c>
    </row>
    <row r="8" spans="1:70">
      <c r="A8" s="2">
        <v>2024</v>
      </c>
      <c r="B8" s="2">
        <v>27993</v>
      </c>
      <c r="C8" s="7">
        <f t="shared" si="1"/>
        <v>0.151921549573801</v>
      </c>
      <c r="D8" s="8">
        <v>0.117148866299154</v>
      </c>
      <c r="E8" s="8">
        <v>0.0347726832746464</v>
      </c>
      <c r="F8" s="9">
        <v>0.848078450426199</v>
      </c>
      <c r="G8" s="2">
        <v>306166</v>
      </c>
      <c r="H8" s="4">
        <f t="shared" si="2"/>
        <v>16506.4772076611</v>
      </c>
      <c r="I8" s="2">
        <v>12386.0870320505</v>
      </c>
      <c r="J8" s="2">
        <v>4120.39017561064</v>
      </c>
      <c r="K8" s="2">
        <v>289658.978149812</v>
      </c>
      <c r="L8" s="17">
        <v>4252.7399372194</v>
      </c>
      <c r="M8" s="17">
        <v>207.341119304139</v>
      </c>
      <c r="N8" s="2">
        <v>3279.34821431223</v>
      </c>
      <c r="O8" s="2">
        <v>206.865373068174</v>
      </c>
      <c r="P8" s="4">
        <f t="shared" si="3"/>
        <v>3072.48284124406</v>
      </c>
      <c r="Q8" s="4">
        <f t="shared" si="4"/>
        <v>0</v>
      </c>
      <c r="R8" s="4">
        <f t="shared" si="5"/>
        <v>3072.48284124406</v>
      </c>
      <c r="S8" s="4">
        <f t="shared" si="6"/>
        <v>12592.9524051187</v>
      </c>
      <c r="T8" s="4">
        <f t="shared" si="7"/>
        <v>0.0164270749553607</v>
      </c>
      <c r="U8" s="24">
        <f t="shared" si="8"/>
        <v>0.11284</v>
      </c>
      <c r="V8" s="4">
        <f t="shared" si="9"/>
        <v>230.208061765188</v>
      </c>
      <c r="W8" s="4">
        <f t="shared" si="10"/>
        <v>12362.7443433535</v>
      </c>
      <c r="X8" s="2">
        <v>973.391722907178</v>
      </c>
      <c r="Y8" s="2">
        <v>0.475746235962106</v>
      </c>
      <c r="Z8" s="4">
        <f t="shared" si="11"/>
        <v>972.915976671216</v>
      </c>
      <c r="AA8" s="4">
        <f t="shared" si="12"/>
        <v>0</v>
      </c>
      <c r="AB8" s="4">
        <f t="shared" si="13"/>
        <v>972.915976671216</v>
      </c>
      <c r="AC8" s="4">
        <f t="shared" si="14"/>
        <v>4120.86592184661</v>
      </c>
      <c r="AD8" s="4">
        <f t="shared" si="15"/>
        <v>0.000115448123036461</v>
      </c>
      <c r="AE8" s="24">
        <f t="shared" si="16"/>
        <v>0.11284</v>
      </c>
      <c r="AF8" s="4">
        <f t="shared" si="17"/>
        <v>0.529429441228071</v>
      </c>
      <c r="AG8" s="4">
        <f t="shared" si="18"/>
        <v>4120.33649240538</v>
      </c>
      <c r="AH8" s="2">
        <v>23740.2600627806</v>
      </c>
      <c r="AI8" s="2">
        <v>12834.1111041472</v>
      </c>
      <c r="AJ8" s="24">
        <v>0</v>
      </c>
      <c r="AK8" s="4">
        <f t="shared" si="19"/>
        <v>0</v>
      </c>
      <c r="AL8" s="4">
        <f t="shared" si="20"/>
        <v>23740.2600627806</v>
      </c>
      <c r="AM8" s="4">
        <f t="shared" si="21"/>
        <v>302493.08925396</v>
      </c>
      <c r="AN8" s="4">
        <f t="shared" si="22"/>
        <v>0.042427782848858</v>
      </c>
      <c r="AO8" s="4">
        <v>0</v>
      </c>
      <c r="AP8" s="4">
        <f t="shared" si="23"/>
        <v>12834.1111041472</v>
      </c>
      <c r="AQ8" s="4">
        <f t="shared" si="24"/>
        <v>289658.978149812</v>
      </c>
      <c r="AR8" s="15">
        <v>0</v>
      </c>
      <c r="AS8" s="4">
        <f t="shared" si="25"/>
        <v>0</v>
      </c>
      <c r="AT8" s="3">
        <f t="shared" si="0"/>
        <v>12428.424</v>
      </c>
      <c r="AU8" s="3">
        <v>10590</v>
      </c>
      <c r="AV8" s="23">
        <v>0.1736</v>
      </c>
      <c r="AW8" s="2">
        <v>54.93549</v>
      </c>
      <c r="AX8" s="3">
        <v>61.07847</v>
      </c>
      <c r="AY8" s="3">
        <v>41.44773</v>
      </c>
      <c r="AZ8" s="3">
        <v>61.09175</v>
      </c>
      <c r="BA8" s="3">
        <v>101.3207</v>
      </c>
      <c r="BB8" s="3">
        <v>177.15032</v>
      </c>
      <c r="BC8" s="15">
        <f t="shared" si="26"/>
        <v>42971906129.012</v>
      </c>
      <c r="BD8" s="15">
        <f t="shared" si="27"/>
        <v>16266801901.6992</v>
      </c>
      <c r="BE8" s="15">
        <f t="shared" si="28"/>
        <v>699711788697.801</v>
      </c>
      <c r="BF8" s="11">
        <f t="shared" si="29"/>
        <v>7.58950496728512</v>
      </c>
    </row>
    <row r="9" spans="1:70">
      <c r="A9" s="2">
        <v>2025</v>
      </c>
      <c r="B9" s="2">
        <v>28671</v>
      </c>
      <c r="C9" s="7">
        <f t="shared" si="1"/>
        <v>0.209462516960962</v>
      </c>
      <c r="D9" s="8">
        <v>0.164993883786381</v>
      </c>
      <c r="E9" s="8">
        <v>0.0445686331745817</v>
      </c>
      <c r="F9" s="9">
        <v>0.790537483039038</v>
      </c>
      <c r="G9" s="2">
        <v>320049</v>
      </c>
      <c r="H9" s="4">
        <f t="shared" si="2"/>
        <v>22278.4307772384</v>
      </c>
      <c r="I9" s="2">
        <v>16880.7057955733</v>
      </c>
      <c r="J9" s="2">
        <v>5397.72498166505</v>
      </c>
      <c r="K9" s="2">
        <v>297770.377292236</v>
      </c>
      <c r="L9" s="17">
        <v>6008.36692378775</v>
      </c>
      <c r="M9" s="17">
        <v>236.413354210563</v>
      </c>
      <c r="N9" s="2">
        <v>4730.53964203932</v>
      </c>
      <c r="O9" s="2">
        <v>235.920878516539</v>
      </c>
      <c r="P9" s="4">
        <f t="shared" si="3"/>
        <v>4494.61876352278</v>
      </c>
      <c r="Q9" s="4">
        <f t="shared" si="4"/>
        <v>0</v>
      </c>
      <c r="R9" s="4">
        <f t="shared" si="5"/>
        <v>4494.61876352278</v>
      </c>
      <c r="S9" s="4">
        <f t="shared" si="6"/>
        <v>17116.6266740898</v>
      </c>
      <c r="T9" s="4">
        <f t="shared" si="7"/>
        <v>0.0137831409779862</v>
      </c>
      <c r="U9" s="24">
        <f t="shared" si="8"/>
        <v>0.11284</v>
      </c>
      <c r="V9" s="4">
        <f t="shared" si="9"/>
        <v>262.542190448345</v>
      </c>
      <c r="W9" s="4">
        <f t="shared" si="10"/>
        <v>16854.0844836415</v>
      </c>
      <c r="X9" s="2">
        <v>1277.82728174843</v>
      </c>
      <c r="Y9" s="2">
        <v>0.492475694025416</v>
      </c>
      <c r="Z9" s="4">
        <f t="shared" si="11"/>
        <v>1277.3348060544</v>
      </c>
      <c r="AA9" s="4">
        <f t="shared" si="12"/>
        <v>0</v>
      </c>
      <c r="AB9" s="4">
        <f t="shared" si="13"/>
        <v>1277.3348060544</v>
      </c>
      <c r="AC9" s="4">
        <f t="shared" si="14"/>
        <v>5398.21745735907</v>
      </c>
      <c r="AD9" s="4">
        <f t="shared" si="15"/>
        <v>9.12293174396027e-5</v>
      </c>
      <c r="AE9" s="24">
        <f t="shared" si="16"/>
        <v>0.11284</v>
      </c>
      <c r="AF9" s="4">
        <f t="shared" si="17"/>
        <v>0.548046651339243</v>
      </c>
      <c r="AG9" s="4">
        <f t="shared" si="18"/>
        <v>5397.66941070773</v>
      </c>
      <c r="AH9" s="2">
        <v>22665.5001762122</v>
      </c>
      <c r="AI9" s="2">
        <v>14554.101033788</v>
      </c>
      <c r="AJ9" s="24">
        <v>0</v>
      </c>
      <c r="AK9" s="4">
        <f t="shared" si="19"/>
        <v>0</v>
      </c>
      <c r="AL9" s="4">
        <f t="shared" si="20"/>
        <v>22665.5001762122</v>
      </c>
      <c r="AM9" s="4">
        <f t="shared" si="21"/>
        <v>312324.478326024</v>
      </c>
      <c r="AN9" s="4">
        <f t="shared" si="22"/>
        <v>0.0465992967051257</v>
      </c>
      <c r="AO9" s="4">
        <v>0</v>
      </c>
      <c r="AP9" s="4">
        <f t="shared" si="23"/>
        <v>14554.101033788</v>
      </c>
      <c r="AQ9" s="4">
        <f t="shared" si="24"/>
        <v>297770.377292236</v>
      </c>
      <c r="AR9" s="15">
        <v>0</v>
      </c>
      <c r="AS9" s="4">
        <f t="shared" si="25"/>
        <v>0</v>
      </c>
      <c r="AT9" s="3">
        <f t="shared" si="0"/>
        <v>12522.312</v>
      </c>
      <c r="AU9" s="3">
        <v>10670</v>
      </c>
      <c r="AV9" s="23">
        <v>0.1736</v>
      </c>
      <c r="AW9" s="2">
        <v>52.13797</v>
      </c>
      <c r="AX9" s="3">
        <v>58.70559</v>
      </c>
      <c r="AY9" s="3">
        <v>39.93118</v>
      </c>
      <c r="AZ9" s="3">
        <v>50.38404</v>
      </c>
      <c r="BA9" s="3">
        <v>82.53827</v>
      </c>
      <c r="BB9" s="3">
        <v>171.71053</v>
      </c>
      <c r="BC9" s="15">
        <f t="shared" si="26"/>
        <v>56961341003.7622</v>
      </c>
      <c r="BD9" s="15">
        <f t="shared" si="27"/>
        <v>19663970567.0836</v>
      </c>
      <c r="BE9" s="15">
        <f t="shared" si="28"/>
        <v>690415280045.193</v>
      </c>
      <c r="BF9" s="11">
        <f t="shared" si="29"/>
        <v>7.67040591616039</v>
      </c>
    </row>
    <row r="10" spans="1:70">
      <c r="A10" s="2">
        <v>2026</v>
      </c>
      <c r="B10" s="2">
        <v>29267</v>
      </c>
      <c r="C10" s="7">
        <f t="shared" si="1"/>
        <v>0.226704534021912</v>
      </c>
      <c r="D10" s="8">
        <v>0.175460775773863</v>
      </c>
      <c r="E10" s="8">
        <v>0.0512437582480487</v>
      </c>
      <c r="F10" s="9">
        <v>0.773295465978088</v>
      </c>
      <c r="G10" s="2">
        <v>332813</v>
      </c>
      <c r="H10" s="4">
        <f t="shared" si="2"/>
        <v>28616.7302102576</v>
      </c>
      <c r="I10" s="2">
        <v>21719.2794863226</v>
      </c>
      <c r="J10" s="2">
        <v>6897.45072393496</v>
      </c>
      <c r="K10" s="2">
        <v>304197.063458072</v>
      </c>
      <c r="L10" s="17">
        <v>6634.9615972193</v>
      </c>
      <c r="M10" s="17">
        <v>296.662164200159</v>
      </c>
      <c r="N10" s="2">
        <v>5135.21052457366</v>
      </c>
      <c r="O10" s="2">
        <v>296.636833824425</v>
      </c>
      <c r="P10" s="4">
        <f t="shared" si="3"/>
        <v>4838.57369074924</v>
      </c>
      <c r="Q10" s="4">
        <f t="shared" si="4"/>
        <v>0</v>
      </c>
      <c r="R10" s="4">
        <f t="shared" si="5"/>
        <v>4838.57369074924</v>
      </c>
      <c r="S10" s="4">
        <f t="shared" si="6"/>
        <v>22015.916320147</v>
      </c>
      <c r="T10" s="4">
        <f t="shared" si="7"/>
        <v>0.0134737446087115</v>
      </c>
      <c r="U10" s="24">
        <f t="shared" si="8"/>
        <v>0.11284</v>
      </c>
      <c r="V10" s="4">
        <f t="shared" si="9"/>
        <v>330.109334153172</v>
      </c>
      <c r="W10" s="4">
        <f t="shared" si="10"/>
        <v>21685.8069859938</v>
      </c>
      <c r="X10" s="2">
        <v>1499.75107264564</v>
      </c>
      <c r="Y10" s="2">
        <v>0.0253303757344838</v>
      </c>
      <c r="Z10" s="4">
        <f t="shared" si="11"/>
        <v>1499.72574226991</v>
      </c>
      <c r="AA10" s="4">
        <f t="shared" si="12"/>
        <v>0</v>
      </c>
      <c r="AB10" s="4">
        <f t="shared" si="13"/>
        <v>1499.72574226991</v>
      </c>
      <c r="AC10" s="4">
        <f t="shared" si="14"/>
        <v>6897.47605431069</v>
      </c>
      <c r="AD10" s="4">
        <f t="shared" si="15"/>
        <v>3.6724122758865e-6</v>
      </c>
      <c r="AE10" s="24">
        <f t="shared" si="16"/>
        <v>0.11284</v>
      </c>
      <c r="AF10" s="4">
        <f t="shared" si="17"/>
        <v>0.0281886553323629</v>
      </c>
      <c r="AG10" s="4">
        <f t="shared" si="18"/>
        <v>6897.44786565536</v>
      </c>
      <c r="AH10" s="2">
        <v>22632.0384027807</v>
      </c>
      <c r="AI10" s="2">
        <v>16205.3522369444</v>
      </c>
      <c r="AJ10" s="24">
        <v>0</v>
      </c>
      <c r="AK10" s="4">
        <f t="shared" si="19"/>
        <v>0</v>
      </c>
      <c r="AL10" s="4">
        <f t="shared" si="20"/>
        <v>22632.0384027807</v>
      </c>
      <c r="AM10" s="4">
        <f t="shared" si="21"/>
        <v>320402.415695017</v>
      </c>
      <c r="AN10" s="4">
        <f t="shared" si="22"/>
        <v>0.05057812127225</v>
      </c>
      <c r="AO10" s="4">
        <v>0</v>
      </c>
      <c r="AP10" s="4">
        <f t="shared" si="23"/>
        <v>16205.3522369444</v>
      </c>
      <c r="AQ10" s="4">
        <f t="shared" si="24"/>
        <v>304197.063458072</v>
      </c>
      <c r="AR10" s="15">
        <v>0</v>
      </c>
      <c r="AS10" s="4">
        <f t="shared" si="25"/>
        <v>0</v>
      </c>
      <c r="AT10" s="3">
        <f t="shared" si="0"/>
        <v>12663.144</v>
      </c>
      <c r="AU10" s="3">
        <v>10790</v>
      </c>
      <c r="AV10" s="23">
        <v>0.1736</v>
      </c>
      <c r="AW10" s="2">
        <v>49.82293</v>
      </c>
      <c r="AX10" s="3">
        <v>56.74484</v>
      </c>
      <c r="AY10" s="3">
        <v>38.74838</v>
      </c>
      <c r="AZ10" s="3">
        <v>35.76314</v>
      </c>
      <c r="BA10" s="3">
        <v>59.2859</v>
      </c>
      <c r="BB10" s="3">
        <v>167.2601</v>
      </c>
      <c r="BC10" s="15">
        <f t="shared" si="26"/>
        <v>58419149012.0624</v>
      </c>
      <c r="BD10" s="15">
        <f t="shared" si="27"/>
        <v>21343056340.056</v>
      </c>
      <c r="BE10" s="15">
        <f t="shared" si="28"/>
        <v>690930675525.128</v>
      </c>
      <c r="BF10" s="11">
        <f t="shared" si="29"/>
        <v>7.70692880877246</v>
      </c>
    </row>
    <row r="11" spans="1:70">
      <c r="A11" s="2">
        <v>2027</v>
      </c>
      <c r="B11" s="2">
        <v>29821</v>
      </c>
      <c r="C11" s="7">
        <f t="shared" si="1"/>
        <v>0.245642519234013</v>
      </c>
      <c r="D11" s="8">
        <v>0.186948865151382</v>
      </c>
      <c r="E11" s="8">
        <v>0.0586936540826313</v>
      </c>
      <c r="F11" s="9">
        <v>0.754357480765987</v>
      </c>
      <c r="G11" s="2">
        <v>344472</v>
      </c>
      <c r="H11" s="4">
        <f t="shared" si="2"/>
        <v>35569.8505367145</v>
      </c>
      <c r="I11" s="2">
        <v>26928.1597531463</v>
      </c>
      <c r="J11" s="2">
        <v>8641.69078356824</v>
      </c>
      <c r="K11" s="2">
        <v>308902.257462042</v>
      </c>
      <c r="L11" s="17">
        <v>7325.30556607752</v>
      </c>
      <c r="M11" s="17">
        <v>372.18523962047</v>
      </c>
      <c r="N11" s="2">
        <v>5575.00210767937</v>
      </c>
      <c r="O11" s="2">
        <v>366.121840855609</v>
      </c>
      <c r="P11" s="4">
        <f t="shared" si="3"/>
        <v>5208.88026682376</v>
      </c>
      <c r="Q11" s="4">
        <f t="shared" si="4"/>
        <v>0</v>
      </c>
      <c r="R11" s="4">
        <f t="shared" si="5"/>
        <v>5208.88026682376</v>
      </c>
      <c r="S11" s="4">
        <f t="shared" si="6"/>
        <v>27294.281594002</v>
      </c>
      <c r="T11" s="4">
        <f t="shared" si="7"/>
        <v>0.013413866182727</v>
      </c>
      <c r="U11" s="24">
        <f t="shared" si="8"/>
        <v>0.11284</v>
      </c>
      <c r="V11" s="4">
        <f t="shared" si="9"/>
        <v>407.435029377759</v>
      </c>
      <c r="W11" s="4">
        <f t="shared" si="10"/>
        <v>26886.8465646242</v>
      </c>
      <c r="X11" s="2">
        <v>1750.30345839815</v>
      </c>
      <c r="Y11" s="2">
        <v>6.06339876486527</v>
      </c>
      <c r="Z11" s="4">
        <f t="shared" si="11"/>
        <v>1744.24005963328</v>
      </c>
      <c r="AA11" s="4">
        <f t="shared" si="12"/>
        <v>0</v>
      </c>
      <c r="AB11" s="4">
        <f t="shared" si="13"/>
        <v>1744.24005963328</v>
      </c>
      <c r="AC11" s="4">
        <f t="shared" si="14"/>
        <v>8647.75418233311</v>
      </c>
      <c r="AD11" s="4">
        <f t="shared" si="15"/>
        <v>0.000701152997301018</v>
      </c>
      <c r="AE11" s="24">
        <f t="shared" si="16"/>
        <v>0.11284</v>
      </c>
      <c r="AF11" s="4">
        <f t="shared" si="17"/>
        <v>6.74759268149267</v>
      </c>
      <c r="AG11" s="4">
        <f t="shared" si="18"/>
        <v>8641.00658965162</v>
      </c>
      <c r="AH11" s="2">
        <v>22495.6944339225</v>
      </c>
      <c r="AI11" s="2">
        <v>17790.5004299529</v>
      </c>
      <c r="AJ11" s="24">
        <v>0</v>
      </c>
      <c r="AK11" s="4">
        <f t="shared" si="19"/>
        <v>0</v>
      </c>
      <c r="AL11" s="4">
        <f t="shared" si="20"/>
        <v>22495.6944339225</v>
      </c>
      <c r="AM11" s="4">
        <f t="shared" si="21"/>
        <v>326692.757891995</v>
      </c>
      <c r="AN11" s="4">
        <f t="shared" si="22"/>
        <v>0.0544563661121452</v>
      </c>
      <c r="AO11" s="4">
        <v>0</v>
      </c>
      <c r="AP11" s="4">
        <f t="shared" si="23"/>
        <v>17790.5004299529</v>
      </c>
      <c r="AQ11" s="4">
        <f t="shared" si="24"/>
        <v>308902.257462042</v>
      </c>
      <c r="AR11" s="15">
        <v>0</v>
      </c>
      <c r="AS11" s="4">
        <f t="shared" si="25"/>
        <v>0</v>
      </c>
      <c r="AT11" s="3">
        <f t="shared" si="0"/>
        <v>12839.184</v>
      </c>
      <c r="AU11" s="3">
        <v>10940</v>
      </c>
      <c r="AV11" s="23">
        <v>0.1736</v>
      </c>
      <c r="AW11" s="2">
        <v>47.81287</v>
      </c>
      <c r="AX11" s="3">
        <v>55.03459</v>
      </c>
      <c r="AY11" s="3">
        <v>37.75928</v>
      </c>
      <c r="AZ11" s="3">
        <v>30.01692</v>
      </c>
      <c r="BA11" s="3">
        <v>54.32707</v>
      </c>
      <c r="BB11" s="3">
        <v>163.64683</v>
      </c>
      <c r="BC11" s="15">
        <f t="shared" si="26"/>
        <v>61697582829.5739</v>
      </c>
      <c r="BD11" s="15">
        <f t="shared" si="27"/>
        <v>24514414030.9699</v>
      </c>
      <c r="BE11" s="15">
        <f t="shared" si="28"/>
        <v>692416597845.946</v>
      </c>
      <c r="BF11" s="11">
        <f t="shared" si="29"/>
        <v>7.7862859470649</v>
      </c>
    </row>
    <row r="12" spans="1:70">
      <c r="A12" s="2">
        <v>2028</v>
      </c>
      <c r="B12" s="2">
        <v>30337</v>
      </c>
      <c r="C12" s="7">
        <f t="shared" si="1"/>
        <v>0.266837869996607</v>
      </c>
      <c r="D12" s="8">
        <v>0.196592723750158</v>
      </c>
      <c r="E12" s="8">
        <v>0.0702451462464487</v>
      </c>
      <c r="F12" s="9">
        <v>0.733162130003393</v>
      </c>
      <c r="G12" s="2">
        <v>355083</v>
      </c>
      <c r="H12" s="4">
        <f t="shared" si="2"/>
        <v>43186.7966272484</v>
      </c>
      <c r="I12" s="2">
        <v>32429.9416267001</v>
      </c>
      <c r="J12" s="2">
        <v>10756.8550005483</v>
      </c>
      <c r="K12" s="2">
        <v>311896.164483548</v>
      </c>
      <c r="L12" s="17">
        <v>8095.06046208706</v>
      </c>
      <c r="M12" s="17">
        <v>478.114371553238</v>
      </c>
      <c r="N12" s="2">
        <v>5964.03346040854</v>
      </c>
      <c r="O12" s="2">
        <v>462.251586854793</v>
      </c>
      <c r="P12" s="4">
        <f t="shared" si="3"/>
        <v>5501.78187355375</v>
      </c>
      <c r="Q12" s="4">
        <f t="shared" si="4"/>
        <v>0</v>
      </c>
      <c r="R12" s="4">
        <f t="shared" si="5"/>
        <v>5501.78187355375</v>
      </c>
      <c r="S12" s="4">
        <f t="shared" si="6"/>
        <v>32892.1932135548</v>
      </c>
      <c r="T12" s="4">
        <f t="shared" si="7"/>
        <v>0.0140535349483566</v>
      </c>
      <c r="U12" s="24">
        <f t="shared" si="8"/>
        <v>0.11284</v>
      </c>
      <c r="V12" s="4">
        <f t="shared" si="9"/>
        <v>514.412055915485</v>
      </c>
      <c r="W12" s="4">
        <f t="shared" si="10"/>
        <v>32377.7811576393</v>
      </c>
      <c r="X12" s="2">
        <v>2131.02700167852</v>
      </c>
      <c r="Y12" s="2">
        <v>15.8627846984309</v>
      </c>
      <c r="Z12" s="4">
        <f t="shared" si="11"/>
        <v>2115.16421698009</v>
      </c>
      <c r="AA12" s="4">
        <f t="shared" si="12"/>
        <v>0</v>
      </c>
      <c r="AB12" s="4">
        <f t="shared" si="13"/>
        <v>2115.16421698009</v>
      </c>
      <c r="AC12" s="4">
        <f t="shared" si="14"/>
        <v>10772.7177852468</v>
      </c>
      <c r="AD12" s="4">
        <f t="shared" si="15"/>
        <v>0.00147249607895187</v>
      </c>
      <c r="AE12" s="24">
        <f t="shared" si="16"/>
        <v>0.11284</v>
      </c>
      <c r="AF12" s="4">
        <f t="shared" si="17"/>
        <v>17.6527413238019</v>
      </c>
      <c r="AG12" s="4">
        <f t="shared" si="18"/>
        <v>10755.065043923</v>
      </c>
      <c r="AH12" s="2">
        <v>22241.9395379129</v>
      </c>
      <c r="AI12" s="2">
        <v>19248.0325164067</v>
      </c>
      <c r="AJ12" s="24">
        <v>0</v>
      </c>
      <c r="AK12" s="4">
        <f t="shared" si="19"/>
        <v>0</v>
      </c>
      <c r="AL12" s="4">
        <f t="shared" si="20"/>
        <v>22241.9395379129</v>
      </c>
      <c r="AM12" s="4">
        <f t="shared" si="21"/>
        <v>331144.196999955</v>
      </c>
      <c r="AN12" s="4">
        <f t="shared" si="22"/>
        <v>0.0581258336724208</v>
      </c>
      <c r="AO12" s="4">
        <v>0</v>
      </c>
      <c r="AP12" s="4">
        <f t="shared" si="23"/>
        <v>19248.0325164067</v>
      </c>
      <c r="AQ12" s="4">
        <f t="shared" si="24"/>
        <v>311896.164483548</v>
      </c>
      <c r="AR12" s="15">
        <v>0</v>
      </c>
      <c r="AS12" s="4">
        <f t="shared" si="25"/>
        <v>0</v>
      </c>
      <c r="AT12" s="3">
        <f t="shared" si="0"/>
        <v>13026.96</v>
      </c>
      <c r="AU12" s="3">
        <v>11100</v>
      </c>
      <c r="AV12" s="23">
        <v>0.1736</v>
      </c>
      <c r="AW12" s="2">
        <v>46.10778</v>
      </c>
      <c r="AX12" s="3">
        <v>53.49383</v>
      </c>
      <c r="AY12" s="3">
        <v>36.8505</v>
      </c>
      <c r="AZ12" s="3">
        <v>26.59559</v>
      </c>
      <c r="BA12" s="3">
        <v>51.05343</v>
      </c>
      <c r="BB12" s="3">
        <v>160.69706</v>
      </c>
      <c r="BC12" s="15">
        <f t="shared" si="26"/>
        <v>64951528042.3705</v>
      </c>
      <c r="BD12" s="15">
        <f t="shared" si="27"/>
        <v>29262544741.4307</v>
      </c>
      <c r="BE12" s="15">
        <f t="shared" si="28"/>
        <v>692808670626.207</v>
      </c>
      <c r="BF12" s="11">
        <f t="shared" si="29"/>
        <v>7.87022743410008</v>
      </c>
    </row>
    <row r="13" spans="1:70">
      <c r="A13" s="2">
        <v>2029</v>
      </c>
      <c r="B13" s="2">
        <v>30767</v>
      </c>
      <c r="C13" s="7">
        <f t="shared" si="1"/>
        <v>0.290225747149396</v>
      </c>
      <c r="D13" s="8">
        <v>0.207531450925898</v>
      </c>
      <c r="E13" s="8">
        <v>0.0826942962234978</v>
      </c>
      <c r="F13" s="9">
        <v>0.709774252850604</v>
      </c>
      <c r="G13" s="2">
        <v>364714</v>
      </c>
      <c r="H13" s="4">
        <f t="shared" si="2"/>
        <v>51490.7117876277</v>
      </c>
      <c r="I13" s="2">
        <v>38222.9426280635</v>
      </c>
      <c r="J13" s="2">
        <v>13267.7691595642</v>
      </c>
      <c r="K13" s="2">
        <v>313224.082259062</v>
      </c>
      <c r="L13" s="17">
        <v>8929.37556254546</v>
      </c>
      <c r="M13" s="17">
        <v>625.460402166056</v>
      </c>
      <c r="N13" s="2">
        <v>6385.1201506371</v>
      </c>
      <c r="O13" s="2">
        <v>592.119149273611</v>
      </c>
      <c r="P13" s="4">
        <f t="shared" si="3"/>
        <v>5793.00100136349</v>
      </c>
      <c r="Q13" s="4">
        <f t="shared" si="4"/>
        <v>0</v>
      </c>
      <c r="R13" s="4">
        <f t="shared" si="5"/>
        <v>5793.00100136349</v>
      </c>
      <c r="S13" s="4">
        <f t="shared" si="6"/>
        <v>38815.0617773372</v>
      </c>
      <c r="T13" s="4">
        <f t="shared" si="7"/>
        <v>0.0152548810219679</v>
      </c>
      <c r="U13" s="24">
        <f t="shared" si="8"/>
        <v>0.11284</v>
      </c>
      <c r="V13" s="4">
        <f t="shared" si="9"/>
        <v>658.933874077647</v>
      </c>
      <c r="W13" s="4">
        <f t="shared" si="10"/>
        <v>38156.1279032596</v>
      </c>
      <c r="X13" s="2">
        <v>2544.25541190836</v>
      </c>
      <c r="Y13" s="2">
        <v>33.3412528924491</v>
      </c>
      <c r="Z13" s="4">
        <f t="shared" si="11"/>
        <v>2510.91415901591</v>
      </c>
      <c r="AA13" s="4">
        <f t="shared" si="12"/>
        <v>0</v>
      </c>
      <c r="AB13" s="4">
        <f t="shared" si="13"/>
        <v>2510.91415901591</v>
      </c>
      <c r="AC13" s="4">
        <f t="shared" si="14"/>
        <v>13301.1104124567</v>
      </c>
      <c r="AD13" s="4">
        <f t="shared" si="15"/>
        <v>0.00250665184022716</v>
      </c>
      <c r="AE13" s="24">
        <f t="shared" si="16"/>
        <v>0.11284</v>
      </c>
      <c r="AF13" s="4">
        <f t="shared" si="17"/>
        <v>37.1034798688332</v>
      </c>
      <c r="AG13" s="4">
        <f t="shared" si="18"/>
        <v>13264.0069325879</v>
      </c>
      <c r="AH13" s="2">
        <v>21837.6244374545</v>
      </c>
      <c r="AI13" s="2">
        <v>20509.7066619407</v>
      </c>
      <c r="AJ13" s="24">
        <v>0</v>
      </c>
      <c r="AK13" s="4">
        <f t="shared" si="19"/>
        <v>0</v>
      </c>
      <c r="AL13" s="4">
        <f t="shared" si="20"/>
        <v>21837.6244374545</v>
      </c>
      <c r="AM13" s="4">
        <f t="shared" si="21"/>
        <v>333733.788921003</v>
      </c>
      <c r="AN13" s="4">
        <f t="shared" si="22"/>
        <v>0.0614552896434334</v>
      </c>
      <c r="AO13" s="4">
        <v>0</v>
      </c>
      <c r="AP13" s="4">
        <f t="shared" si="23"/>
        <v>20509.7066619407</v>
      </c>
      <c r="AQ13" s="4">
        <f t="shared" si="24"/>
        <v>313224.082259062</v>
      </c>
      <c r="AR13" s="15">
        <v>0</v>
      </c>
      <c r="AS13" s="4">
        <f t="shared" si="25"/>
        <v>0</v>
      </c>
      <c r="AT13" s="3">
        <f t="shared" si="0"/>
        <v>13226.472</v>
      </c>
      <c r="AU13" s="3">
        <v>11270</v>
      </c>
      <c r="AV13" s="23">
        <v>0.1736</v>
      </c>
      <c r="AW13" s="2">
        <v>44.64271</v>
      </c>
      <c r="AX13" s="3">
        <v>52.04855</v>
      </c>
      <c r="AY13" s="3">
        <v>35.9672</v>
      </c>
      <c r="AZ13" s="3">
        <v>24.08977</v>
      </c>
      <c r="BA13" s="3">
        <v>48.66672</v>
      </c>
      <c r="BB13" s="3">
        <v>158.22849</v>
      </c>
      <c r="BC13" s="15">
        <f t="shared" si="26"/>
        <v>68710309877.235</v>
      </c>
      <c r="BD13" s="15">
        <f t="shared" si="27"/>
        <v>34466298994.5086</v>
      </c>
      <c r="BE13" s="15">
        <f t="shared" si="28"/>
        <v>691330500773.555</v>
      </c>
      <c r="BF13" s="11">
        <f t="shared" si="29"/>
        <v>7.94507109645299</v>
      </c>
    </row>
    <row r="14" spans="1:70">
      <c r="A14" s="2">
        <v>2030</v>
      </c>
      <c r="B14" s="2">
        <v>31057</v>
      </c>
      <c r="C14" s="7">
        <f t="shared" si="1"/>
        <v>0.319517234323311</v>
      </c>
      <c r="D14" s="8">
        <v>0.225845567788596</v>
      </c>
      <c r="E14" s="8">
        <v>0.0936716665347149</v>
      </c>
      <c r="F14" s="9">
        <v>0.680482765676689</v>
      </c>
      <c r="G14" s="2">
        <v>373443</v>
      </c>
      <c r="H14" s="4">
        <f t="shared" si="2"/>
        <v>60592.0177566786</v>
      </c>
      <c r="I14" s="2">
        <v>44478.7183957898</v>
      </c>
      <c r="J14" s="2">
        <v>16113.2993608888</v>
      </c>
      <c r="K14" s="2">
        <v>312850.810593583</v>
      </c>
      <c r="L14" s="17">
        <v>9923.24674637907</v>
      </c>
      <c r="M14" s="17">
        <v>821.940777328295</v>
      </c>
      <c r="N14" s="2">
        <v>7014.08579881043</v>
      </c>
      <c r="O14" s="2">
        <v>758.310031084213</v>
      </c>
      <c r="P14" s="4">
        <f t="shared" si="3"/>
        <v>6255.77576772622</v>
      </c>
      <c r="Q14" s="4">
        <f t="shared" si="4"/>
        <v>0</v>
      </c>
      <c r="R14" s="4">
        <f t="shared" si="5"/>
        <v>6255.77576772622</v>
      </c>
      <c r="S14" s="4">
        <f t="shared" si="6"/>
        <v>45237.0284268739</v>
      </c>
      <c r="T14" s="4">
        <f t="shared" si="7"/>
        <v>0.0167630381007459</v>
      </c>
      <c r="U14" s="24">
        <f t="shared" si="8"/>
        <v>0.11284</v>
      </c>
      <c r="V14" s="4">
        <f t="shared" si="9"/>
        <v>843.877734991755</v>
      </c>
      <c r="W14" s="4">
        <f t="shared" si="10"/>
        <v>44393.1506918821</v>
      </c>
      <c r="X14" s="2">
        <v>2909.16094756864</v>
      </c>
      <c r="Y14" s="2">
        <v>63.6307462440818</v>
      </c>
      <c r="Z14" s="4">
        <f t="shared" si="11"/>
        <v>2845.53020132456</v>
      </c>
      <c r="AA14" s="4">
        <f t="shared" si="12"/>
        <v>0</v>
      </c>
      <c r="AB14" s="4">
        <f t="shared" si="13"/>
        <v>2845.53020132456</v>
      </c>
      <c r="AC14" s="4">
        <f t="shared" si="14"/>
        <v>16176.9301071328</v>
      </c>
      <c r="AD14" s="4">
        <f t="shared" si="15"/>
        <v>0.00393342530521444</v>
      </c>
      <c r="AE14" s="24">
        <f t="shared" si="16"/>
        <v>0.11284</v>
      </c>
      <c r="AF14" s="4">
        <f t="shared" si="17"/>
        <v>70.8108396502636</v>
      </c>
      <c r="AG14" s="4">
        <f t="shared" si="18"/>
        <v>16106.1192674825</v>
      </c>
      <c r="AH14" s="2">
        <v>21133.7532536209</v>
      </c>
      <c r="AI14" s="2">
        <v>21507.0249190999</v>
      </c>
      <c r="AJ14" s="24">
        <v>0</v>
      </c>
      <c r="AK14" s="4">
        <f t="shared" si="19"/>
        <v>0</v>
      </c>
      <c r="AL14" s="4">
        <f t="shared" si="20"/>
        <v>21133.7532536209</v>
      </c>
      <c r="AM14" s="4">
        <f t="shared" si="21"/>
        <v>334357.835512683</v>
      </c>
      <c r="AN14" s="4">
        <f t="shared" si="22"/>
        <v>0.0643233764392643</v>
      </c>
      <c r="AO14" s="4">
        <v>0</v>
      </c>
      <c r="AP14" s="4">
        <f t="shared" si="23"/>
        <v>21507.0249190999</v>
      </c>
      <c r="AQ14" s="4">
        <f t="shared" si="24"/>
        <v>312850.810593583</v>
      </c>
      <c r="AR14" s="15">
        <v>0</v>
      </c>
      <c r="AS14" s="4">
        <f t="shared" si="25"/>
        <v>0</v>
      </c>
      <c r="AT14" s="3">
        <f t="shared" si="0"/>
        <v>13425.984</v>
      </c>
      <c r="AU14" s="3">
        <v>11440</v>
      </c>
      <c r="AV14" s="23">
        <v>0.1736</v>
      </c>
      <c r="AW14" s="2">
        <v>43.35601</v>
      </c>
      <c r="AX14" s="3">
        <v>50.69424</v>
      </c>
      <c r="AY14" s="3">
        <v>35.14148</v>
      </c>
      <c r="AZ14" s="3">
        <v>22.09576</v>
      </c>
      <c r="BA14" s="3">
        <v>46.57791</v>
      </c>
      <c r="BB14" s="3">
        <v>156.14353</v>
      </c>
      <c r="BC14" s="15">
        <f t="shared" si="26"/>
        <v>74412737798.7826</v>
      </c>
      <c r="BD14" s="15">
        <f t="shared" si="27"/>
        <v>39122904365.7191</v>
      </c>
      <c r="BE14" s="15">
        <f t="shared" si="28"/>
        <v>686282173019.292</v>
      </c>
      <c r="BF14" s="11">
        <f t="shared" si="29"/>
        <v>7.99817815183794</v>
      </c>
    </row>
    <row r="15" spans="1:70">
      <c r="A15" s="2">
        <v>2031</v>
      </c>
      <c r="B15" s="2">
        <v>31116</v>
      </c>
      <c r="C15" s="7">
        <f t="shared" si="1"/>
        <v>0.317245734230146</v>
      </c>
      <c r="D15" s="8">
        <v>0.230191643657115</v>
      </c>
      <c r="E15" s="8">
        <v>0.0870540905730316</v>
      </c>
      <c r="F15" s="9">
        <v>0.682754265769854</v>
      </c>
      <c r="G15" s="2">
        <v>381268</v>
      </c>
      <c r="H15" s="4">
        <f t="shared" si="2"/>
        <v>69389.8780899168</v>
      </c>
      <c r="I15" s="2">
        <v>50698.9260064622</v>
      </c>
      <c r="J15" s="2">
        <v>18690.9520834546</v>
      </c>
      <c r="K15" s="2">
        <v>311878.533692855</v>
      </c>
      <c r="L15" s="17">
        <v>9871.41826630524</v>
      </c>
      <c r="M15" s="17">
        <v>1073.55793306702</v>
      </c>
      <c r="N15" s="2">
        <v>7162.64318403479</v>
      </c>
      <c r="O15" s="2">
        <v>942.435573362338</v>
      </c>
      <c r="P15" s="4">
        <f t="shared" si="3"/>
        <v>6220.20761067245</v>
      </c>
      <c r="Q15" s="4">
        <f t="shared" si="4"/>
        <v>0</v>
      </c>
      <c r="R15" s="4">
        <f t="shared" si="5"/>
        <v>6220.20761067245</v>
      </c>
      <c r="S15" s="4">
        <f t="shared" si="6"/>
        <v>51641.3615798246</v>
      </c>
      <c r="T15" s="4">
        <f t="shared" si="7"/>
        <v>0.0182496267435856</v>
      </c>
      <c r="U15" s="24">
        <f t="shared" si="8"/>
        <v>0.11284</v>
      </c>
      <c r="V15" s="4">
        <f t="shared" si="9"/>
        <v>1048.78000346055</v>
      </c>
      <c r="W15" s="4">
        <f t="shared" si="10"/>
        <v>50592.5815763641</v>
      </c>
      <c r="X15" s="2">
        <v>2708.77508227045</v>
      </c>
      <c r="Y15" s="2">
        <v>131.122359704681</v>
      </c>
      <c r="Z15" s="4">
        <f t="shared" si="11"/>
        <v>2577.65272256577</v>
      </c>
      <c r="AA15" s="4">
        <f t="shared" si="12"/>
        <v>0</v>
      </c>
      <c r="AB15" s="4">
        <f t="shared" si="13"/>
        <v>2577.65272256577</v>
      </c>
      <c r="AC15" s="4">
        <f t="shared" si="14"/>
        <v>18822.0744431593</v>
      </c>
      <c r="AD15" s="4">
        <f t="shared" si="15"/>
        <v>0.00696641382971133</v>
      </c>
      <c r="AE15" s="24">
        <f t="shared" si="16"/>
        <v>0.11284</v>
      </c>
      <c r="AF15" s="4">
        <f t="shared" si="17"/>
        <v>145.918206773757</v>
      </c>
      <c r="AG15" s="4">
        <f t="shared" si="18"/>
        <v>18676.1562363855</v>
      </c>
      <c r="AH15" s="2">
        <v>21244.5817336948</v>
      </c>
      <c r="AI15" s="2">
        <v>22216.858634423</v>
      </c>
      <c r="AJ15" s="24">
        <v>0</v>
      </c>
      <c r="AK15" s="4">
        <f t="shared" si="19"/>
        <v>0</v>
      </c>
      <c r="AL15" s="4">
        <f t="shared" si="20"/>
        <v>21244.5817336948</v>
      </c>
      <c r="AM15" s="4">
        <f t="shared" si="21"/>
        <v>334095.392327278</v>
      </c>
      <c r="AN15" s="4">
        <f t="shared" si="22"/>
        <v>0.0664985484524716</v>
      </c>
      <c r="AO15" s="4">
        <v>0</v>
      </c>
      <c r="AP15" s="4">
        <f t="shared" si="23"/>
        <v>22216.858634423</v>
      </c>
      <c r="AQ15" s="4">
        <f t="shared" si="24"/>
        <v>311878.533692855</v>
      </c>
      <c r="AR15" s="15">
        <v>0</v>
      </c>
      <c r="AS15" s="4">
        <f t="shared" si="25"/>
        <v>0</v>
      </c>
      <c r="AT15" s="3">
        <f t="shared" si="0"/>
        <v>13637.232</v>
      </c>
      <c r="AU15" s="3">
        <v>11620</v>
      </c>
      <c r="AV15" s="23">
        <v>0.1736</v>
      </c>
      <c r="AW15" s="2">
        <v>42.23781</v>
      </c>
      <c r="AX15" s="3">
        <v>49.36391</v>
      </c>
      <c r="AY15" s="3">
        <v>34.32447</v>
      </c>
      <c r="AZ15" s="3">
        <v>20.49506</v>
      </c>
      <c r="BA15" s="3">
        <v>44.96585</v>
      </c>
      <c r="BB15" s="3">
        <v>154.34747</v>
      </c>
      <c r="BC15" s="15">
        <f t="shared" si="26"/>
        <v>76026387736.7064</v>
      </c>
      <c r="BD15" s="15">
        <f t="shared" si="27"/>
        <v>37481038845.4145</v>
      </c>
      <c r="BE15" s="15">
        <f t="shared" si="28"/>
        <v>686460769837.724</v>
      </c>
      <c r="BF15" s="11">
        <f t="shared" si="29"/>
        <v>7.99968196419845</v>
      </c>
    </row>
    <row r="16" spans="1:70">
      <c r="A16" s="2">
        <v>2032</v>
      </c>
      <c r="B16" s="2">
        <v>31274</v>
      </c>
      <c r="C16" s="7">
        <f t="shared" si="1"/>
        <v>0.316312239196366</v>
      </c>
      <c r="D16" s="8">
        <v>0.239768601348979</v>
      </c>
      <c r="E16" s="8">
        <v>0.0765436378473863</v>
      </c>
      <c r="F16" s="9">
        <v>0.683687760803634</v>
      </c>
      <c r="G16" s="2">
        <v>388489</v>
      </c>
      <c r="H16" s="4">
        <f t="shared" si="2"/>
        <v>77903.8683247155</v>
      </c>
      <c r="I16" s="2">
        <v>57040.6383857745</v>
      </c>
      <c r="J16" s="2">
        <v>20863.229938941</v>
      </c>
      <c r="K16" s="2">
        <v>310585.41303932</v>
      </c>
      <c r="L16" s="17">
        <v>9892.34896862714</v>
      </c>
      <c r="M16" s="17">
        <v>1378.35873382838</v>
      </c>
      <c r="N16" s="2">
        <v>7498.52323858798</v>
      </c>
      <c r="O16" s="2">
        <v>1156.81085927568</v>
      </c>
      <c r="P16" s="4">
        <f t="shared" si="3"/>
        <v>6341.7123793123</v>
      </c>
      <c r="Q16" s="4">
        <f t="shared" si="4"/>
        <v>0</v>
      </c>
      <c r="R16" s="4">
        <f t="shared" si="5"/>
        <v>6341.7123793123</v>
      </c>
      <c r="S16" s="4">
        <f t="shared" si="6"/>
        <v>58197.4492450502</v>
      </c>
      <c r="T16" s="4">
        <f t="shared" si="7"/>
        <v>0.0198773464177911</v>
      </c>
      <c r="U16" s="24">
        <f t="shared" si="8"/>
        <v>0.11284</v>
      </c>
      <c r="V16" s="4">
        <f t="shared" si="9"/>
        <v>1287.34539663635</v>
      </c>
      <c r="W16" s="4">
        <f t="shared" si="10"/>
        <v>56910.1038484139</v>
      </c>
      <c r="X16" s="2">
        <v>2393.82573003916</v>
      </c>
      <c r="Y16" s="2">
        <v>221.547874552703</v>
      </c>
      <c r="Z16" s="4">
        <f t="shared" si="11"/>
        <v>2172.27785548646</v>
      </c>
      <c r="AA16" s="4">
        <f t="shared" si="12"/>
        <v>0</v>
      </c>
      <c r="AB16" s="4">
        <f t="shared" si="13"/>
        <v>2172.27785548646</v>
      </c>
      <c r="AC16" s="4">
        <f t="shared" si="14"/>
        <v>21084.7778134938</v>
      </c>
      <c r="AD16" s="4">
        <f t="shared" si="15"/>
        <v>0.0105074796856962</v>
      </c>
      <c r="AE16" s="24">
        <f t="shared" si="16"/>
        <v>0.11284</v>
      </c>
      <c r="AF16" s="4">
        <f t="shared" si="17"/>
        <v>246.547336717231</v>
      </c>
      <c r="AG16" s="4">
        <f t="shared" si="18"/>
        <v>20838.2304767766</v>
      </c>
      <c r="AH16" s="2">
        <v>21381.6510313729</v>
      </c>
      <c r="AI16" s="2">
        <v>22674.7716849082</v>
      </c>
      <c r="AJ16" s="24">
        <v>0</v>
      </c>
      <c r="AK16" s="4">
        <f t="shared" si="19"/>
        <v>0</v>
      </c>
      <c r="AL16" s="4">
        <f t="shared" si="20"/>
        <v>21381.6510313729</v>
      </c>
      <c r="AM16" s="4">
        <f t="shared" si="21"/>
        <v>333260.184724228</v>
      </c>
      <c r="AN16" s="4">
        <f t="shared" si="22"/>
        <v>0.0680392459833493</v>
      </c>
      <c r="AO16" s="4">
        <v>0</v>
      </c>
      <c r="AP16" s="4">
        <f t="shared" si="23"/>
        <v>22674.7716849082</v>
      </c>
      <c r="AQ16" s="4">
        <f t="shared" si="24"/>
        <v>310585.41303932</v>
      </c>
      <c r="AR16" s="15">
        <v>0</v>
      </c>
      <c r="AS16" s="4">
        <f t="shared" si="25"/>
        <v>0</v>
      </c>
      <c r="AT16" s="3">
        <f t="shared" si="0"/>
        <v>13825.008</v>
      </c>
      <c r="AU16" s="3">
        <v>11780</v>
      </c>
      <c r="AV16" s="23">
        <v>0.1736</v>
      </c>
      <c r="AW16" s="2">
        <v>41.22378</v>
      </c>
      <c r="AX16" s="3">
        <v>48.1185</v>
      </c>
      <c r="AY16" s="3">
        <v>33.51516</v>
      </c>
      <c r="AZ16" s="3">
        <v>19.10469</v>
      </c>
      <c r="BA16" s="3">
        <v>43.50043</v>
      </c>
      <c r="BB16" s="3">
        <v>152.75024</v>
      </c>
      <c r="BC16" s="15">
        <f t="shared" si="26"/>
        <v>79134511368.2912</v>
      </c>
      <c r="BD16" s="15">
        <f t="shared" si="27"/>
        <v>34208230197.6748</v>
      </c>
      <c r="BE16" s="15">
        <f t="shared" si="28"/>
        <v>685491608148.723</v>
      </c>
      <c r="BF16" s="11">
        <f t="shared" si="29"/>
        <v>7.98834349714689</v>
      </c>
    </row>
    <row r="17" spans="1:58">
      <c r="A17" s="2">
        <v>2033</v>
      </c>
      <c r="B17" s="2">
        <v>31474</v>
      </c>
      <c r="C17" s="7">
        <f t="shared" si="1"/>
        <v>0.316550164311839</v>
      </c>
      <c r="D17" s="8">
        <v>0.242591323810351</v>
      </c>
      <c r="E17" s="8">
        <v>0.0739588405014883</v>
      </c>
      <c r="F17" s="9">
        <v>0.683449835688161</v>
      </c>
      <c r="G17" s="2">
        <v>395263</v>
      </c>
      <c r="H17" s="4">
        <f t="shared" si="2"/>
        <v>86123.8370774815</v>
      </c>
      <c r="I17" s="2">
        <v>63251.0217180025</v>
      </c>
      <c r="J17" s="2">
        <v>22872.815359479</v>
      </c>
      <c r="K17" s="2">
        <v>309139.712660884</v>
      </c>
      <c r="L17" s="17">
        <v>9963.09987155082</v>
      </c>
      <c r="M17" s="17">
        <v>1743.13111878482</v>
      </c>
      <c r="N17" s="2">
        <v>7635.31932560698</v>
      </c>
      <c r="O17" s="2">
        <v>1424.93599337899</v>
      </c>
      <c r="P17" s="4">
        <f t="shared" si="3"/>
        <v>6210.38333222799</v>
      </c>
      <c r="Q17" s="4">
        <f t="shared" si="4"/>
        <v>0</v>
      </c>
      <c r="R17" s="4">
        <f t="shared" si="5"/>
        <v>6210.38333222799</v>
      </c>
      <c r="S17" s="4">
        <f t="shared" si="6"/>
        <v>64675.9577113815</v>
      </c>
      <c r="T17" s="4">
        <f t="shared" si="7"/>
        <v>0.022031927223062</v>
      </c>
      <c r="U17" s="24">
        <f t="shared" si="8"/>
        <v>0.11284</v>
      </c>
      <c r="V17" s="4">
        <f t="shared" si="9"/>
        <v>1585.72577087188</v>
      </c>
      <c r="W17" s="4">
        <f t="shared" si="10"/>
        <v>63090.2319405096</v>
      </c>
      <c r="X17" s="2">
        <v>2327.78054594384</v>
      </c>
      <c r="Y17" s="2">
        <v>318.195125405826</v>
      </c>
      <c r="Z17" s="4">
        <f t="shared" si="11"/>
        <v>2009.58542053801</v>
      </c>
      <c r="AA17" s="4">
        <f t="shared" si="12"/>
        <v>0</v>
      </c>
      <c r="AB17" s="4">
        <f t="shared" si="13"/>
        <v>2009.58542053801</v>
      </c>
      <c r="AC17" s="4">
        <f t="shared" si="14"/>
        <v>23191.0104848848</v>
      </c>
      <c r="AD17" s="4">
        <f t="shared" si="15"/>
        <v>0.0137206235844365</v>
      </c>
      <c r="AE17" s="24">
        <f t="shared" si="16"/>
        <v>0.11284</v>
      </c>
      <c r="AF17" s="4">
        <f t="shared" si="17"/>
        <v>354.100263356618</v>
      </c>
      <c r="AG17" s="4">
        <f t="shared" si="18"/>
        <v>22836.9102215282</v>
      </c>
      <c r="AH17" s="2">
        <v>21510.9001284492</v>
      </c>
      <c r="AI17" s="2">
        <v>22956.6005068843</v>
      </c>
      <c r="AJ17" s="24">
        <v>0</v>
      </c>
      <c r="AK17" s="4">
        <f t="shared" si="19"/>
        <v>0</v>
      </c>
      <c r="AL17" s="4">
        <f t="shared" si="20"/>
        <v>21510.9001284492</v>
      </c>
      <c r="AM17" s="4">
        <f t="shared" si="21"/>
        <v>332096.313167769</v>
      </c>
      <c r="AN17" s="4">
        <f t="shared" si="22"/>
        <v>0.0691263335262837</v>
      </c>
      <c r="AO17" s="4">
        <v>0</v>
      </c>
      <c r="AP17" s="4">
        <f t="shared" si="23"/>
        <v>22956.6005068844</v>
      </c>
      <c r="AQ17" s="4">
        <f t="shared" si="24"/>
        <v>309139.712660885</v>
      </c>
      <c r="AR17" s="15">
        <v>0</v>
      </c>
      <c r="AS17" s="4">
        <f t="shared" si="25"/>
        <v>0</v>
      </c>
      <c r="AT17" s="3">
        <f t="shared" si="0"/>
        <v>14012.784</v>
      </c>
      <c r="AU17" s="3">
        <v>11940</v>
      </c>
      <c r="AV17" s="23">
        <v>0.1736</v>
      </c>
      <c r="AW17" s="2">
        <v>40.30177</v>
      </c>
      <c r="AX17" s="3">
        <v>46.8934</v>
      </c>
      <c r="AY17" s="3">
        <v>32.71389</v>
      </c>
      <c r="AZ17" s="3">
        <v>17.8373</v>
      </c>
      <c r="BA17" s="3">
        <v>42.1705</v>
      </c>
      <c r="BB17" s="3">
        <v>151.26901</v>
      </c>
      <c r="BC17" s="15">
        <f t="shared" si="26"/>
        <v>80448971403.5436</v>
      </c>
      <c r="BD17" s="15">
        <f t="shared" si="27"/>
        <v>33302618741.4865</v>
      </c>
      <c r="BE17" s="15">
        <f t="shared" si="28"/>
        <v>684386908943.615</v>
      </c>
      <c r="BF17" s="11">
        <f t="shared" si="29"/>
        <v>7.98138499088645</v>
      </c>
    </row>
    <row r="18" spans="1:58">
      <c r="A18" s="2">
        <v>2034</v>
      </c>
      <c r="B18" s="2">
        <v>31657</v>
      </c>
      <c r="C18" s="7">
        <f t="shared" si="1"/>
        <v>0.317654298463266</v>
      </c>
      <c r="D18" s="8">
        <v>0.250406521756049</v>
      </c>
      <c r="E18" s="8">
        <v>0.0672477767072169</v>
      </c>
      <c r="F18" s="9">
        <v>0.682345701536734</v>
      </c>
      <c r="G18" s="2">
        <v>401608</v>
      </c>
      <c r="H18" s="4">
        <f t="shared" si="2"/>
        <v>93985.8564678595</v>
      </c>
      <c r="I18" s="2">
        <v>69423.0106726824</v>
      </c>
      <c r="J18" s="2">
        <v>24562.8457951771</v>
      </c>
      <c r="K18" s="2">
        <v>307622.509156122</v>
      </c>
      <c r="L18" s="17">
        <v>10055.9821264516</v>
      </c>
      <c r="M18" s="17">
        <v>2193.96273607369</v>
      </c>
      <c r="N18" s="2">
        <v>7927.11925923125</v>
      </c>
      <c r="O18" s="2">
        <v>1755.13030455135</v>
      </c>
      <c r="P18" s="4">
        <f t="shared" si="3"/>
        <v>6171.9889546799</v>
      </c>
      <c r="Q18" s="4">
        <f t="shared" si="4"/>
        <v>0</v>
      </c>
      <c r="R18" s="4">
        <f t="shared" si="5"/>
        <v>6171.9889546799</v>
      </c>
      <c r="S18" s="4">
        <f t="shared" si="6"/>
        <v>71178.1409772338</v>
      </c>
      <c r="T18" s="4">
        <f t="shared" si="7"/>
        <v>0.0246582768312638</v>
      </c>
      <c r="U18" s="24">
        <f t="shared" si="8"/>
        <v>0.11284</v>
      </c>
      <c r="V18" s="4">
        <f t="shared" si="9"/>
        <v>1953.17920811693</v>
      </c>
      <c r="W18" s="4">
        <f t="shared" si="10"/>
        <v>69224.9617691169</v>
      </c>
      <c r="X18" s="2">
        <v>2128.86286722036</v>
      </c>
      <c r="Y18" s="2">
        <v>438.832431522347</v>
      </c>
      <c r="Z18" s="4">
        <f t="shared" si="11"/>
        <v>1690.03043569801</v>
      </c>
      <c r="AA18" s="4">
        <f t="shared" si="12"/>
        <v>0</v>
      </c>
      <c r="AB18" s="4">
        <f t="shared" si="13"/>
        <v>1690.03043569801</v>
      </c>
      <c r="AC18" s="4">
        <f t="shared" si="14"/>
        <v>25001.6782266994</v>
      </c>
      <c r="AD18" s="4">
        <f t="shared" si="15"/>
        <v>0.0175521190035041</v>
      </c>
      <c r="AE18" s="24">
        <f t="shared" si="16"/>
        <v>0.11284</v>
      </c>
      <c r="AF18" s="4">
        <f t="shared" si="17"/>
        <v>488.350283095327</v>
      </c>
      <c r="AG18" s="4">
        <f t="shared" si="18"/>
        <v>24513.3279436041</v>
      </c>
      <c r="AH18" s="2">
        <v>21601.0178735484</v>
      </c>
      <c r="AI18" s="2">
        <v>23118.2213783107</v>
      </c>
      <c r="AJ18" s="24">
        <v>0</v>
      </c>
      <c r="AK18" s="4">
        <f t="shared" si="19"/>
        <v>0</v>
      </c>
      <c r="AL18" s="4">
        <f t="shared" si="20"/>
        <v>21601.0178735484</v>
      </c>
      <c r="AM18" s="4">
        <f t="shared" si="21"/>
        <v>330740.730534432</v>
      </c>
      <c r="AN18" s="4">
        <f t="shared" si="22"/>
        <v>0.0698983198741647</v>
      </c>
      <c r="AO18" s="4">
        <v>0</v>
      </c>
      <c r="AP18" s="4">
        <f t="shared" si="23"/>
        <v>23118.2213783107</v>
      </c>
      <c r="AQ18" s="4">
        <f t="shared" si="24"/>
        <v>307622.509156122</v>
      </c>
      <c r="AR18" s="15">
        <v>0</v>
      </c>
      <c r="AS18" s="4">
        <f t="shared" si="25"/>
        <v>0</v>
      </c>
      <c r="AT18" s="3">
        <f t="shared" si="0"/>
        <v>14200.56</v>
      </c>
      <c r="AU18" s="3">
        <v>12100</v>
      </c>
      <c r="AV18" s="23">
        <v>0.1736</v>
      </c>
      <c r="AW18" s="2">
        <v>39.42017</v>
      </c>
      <c r="AX18" s="3">
        <v>45.7477</v>
      </c>
      <c r="AY18" s="3">
        <v>31.9604</v>
      </c>
      <c r="AZ18" s="3">
        <v>16.68671</v>
      </c>
      <c r="BA18" s="3">
        <v>40.96639</v>
      </c>
      <c r="BB18" s="3">
        <v>149.8997</v>
      </c>
      <c r="BC18" s="15">
        <f t="shared" si="26"/>
        <v>82966242033.055</v>
      </c>
      <c r="BD18" s="15">
        <f t="shared" si="27"/>
        <v>30729268201.8776</v>
      </c>
      <c r="BE18" s="15">
        <f t="shared" si="28"/>
        <v>683264970866.278</v>
      </c>
      <c r="BF18" s="11">
        <f t="shared" si="29"/>
        <v>7.96960481101211</v>
      </c>
    </row>
    <row r="19" spans="1:58">
      <c r="A19" s="2">
        <v>2035</v>
      </c>
      <c r="B19" s="2">
        <v>31591</v>
      </c>
      <c r="C19" s="7">
        <f t="shared" si="1"/>
        <v>0.318632223552804</v>
      </c>
      <c r="D19" s="8">
        <v>0.257533354958395</v>
      </c>
      <c r="E19" s="8">
        <v>0.0610988685944089</v>
      </c>
      <c r="F19" s="9">
        <v>0.681367776447196</v>
      </c>
      <c r="G19" s="2">
        <v>407260</v>
      </c>
      <c r="H19" s="4">
        <f t="shared" si="2"/>
        <v>101307.497986155</v>
      </c>
      <c r="I19" s="2">
        <v>75393.969747526</v>
      </c>
      <c r="J19" s="2">
        <v>25913.5282386288</v>
      </c>
      <c r="K19" s="2">
        <v>305953.427966065</v>
      </c>
      <c r="L19" s="17">
        <v>10065.9105742566</v>
      </c>
      <c r="M19" s="17">
        <v>2744.26905596128</v>
      </c>
      <c r="N19" s="2">
        <v>8135.73621649064</v>
      </c>
      <c r="O19" s="2">
        <v>2164.77714164702</v>
      </c>
      <c r="P19" s="4">
        <f t="shared" si="3"/>
        <v>5970.95907484362</v>
      </c>
      <c r="Q19" s="4">
        <f t="shared" si="4"/>
        <v>0</v>
      </c>
      <c r="R19" s="4">
        <f t="shared" si="5"/>
        <v>5970.95907484362</v>
      </c>
      <c r="S19" s="4">
        <f t="shared" si="6"/>
        <v>77558.746889173</v>
      </c>
      <c r="T19" s="4">
        <f t="shared" si="7"/>
        <v>0.0279114507192898</v>
      </c>
      <c r="U19" s="24">
        <f t="shared" si="8"/>
        <v>0.11284</v>
      </c>
      <c r="V19" s="4">
        <f t="shared" si="9"/>
        <v>2409.05059431047</v>
      </c>
      <c r="W19" s="4">
        <f t="shared" si="10"/>
        <v>75149.6962948625</v>
      </c>
      <c r="X19" s="2">
        <v>1930.17435776597</v>
      </c>
      <c r="Y19" s="2">
        <v>579.491914314243</v>
      </c>
      <c r="Z19" s="4">
        <f t="shared" si="11"/>
        <v>1350.68244345173</v>
      </c>
      <c r="AA19" s="4">
        <f t="shared" si="12"/>
        <v>0</v>
      </c>
      <c r="AB19" s="4">
        <f t="shared" si="13"/>
        <v>1350.68244345173</v>
      </c>
      <c r="AC19" s="4">
        <f t="shared" si="14"/>
        <v>26493.0201529431</v>
      </c>
      <c r="AD19" s="4">
        <f t="shared" si="15"/>
        <v>0.0218733806477654</v>
      </c>
      <c r="AE19" s="24">
        <f t="shared" si="16"/>
        <v>0.11284</v>
      </c>
      <c r="AF19" s="4">
        <f t="shared" si="17"/>
        <v>644.881781925464</v>
      </c>
      <c r="AG19" s="4">
        <f t="shared" si="18"/>
        <v>25848.1383710176</v>
      </c>
      <c r="AH19" s="2">
        <v>21525.0894257434</v>
      </c>
      <c r="AI19" s="2">
        <v>23194.1706158004</v>
      </c>
      <c r="AJ19" s="24">
        <v>0</v>
      </c>
      <c r="AK19" s="4">
        <f t="shared" si="19"/>
        <v>0</v>
      </c>
      <c r="AL19" s="4">
        <f t="shared" si="20"/>
        <v>21525.0894257434</v>
      </c>
      <c r="AM19" s="4">
        <f t="shared" si="21"/>
        <v>329147.598581865</v>
      </c>
      <c r="AN19" s="4">
        <f t="shared" si="22"/>
        <v>0.0704673851965885</v>
      </c>
      <c r="AO19" s="4">
        <v>0</v>
      </c>
      <c r="AP19" s="4">
        <f t="shared" si="23"/>
        <v>23194.1706158004</v>
      </c>
      <c r="AQ19" s="4">
        <f t="shared" si="24"/>
        <v>305953.427966065</v>
      </c>
      <c r="AR19" s="15">
        <v>0</v>
      </c>
      <c r="AS19" s="4">
        <f t="shared" si="25"/>
        <v>0</v>
      </c>
      <c r="AT19" s="3">
        <f t="shared" si="0"/>
        <v>14376.6</v>
      </c>
      <c r="AU19" s="3">
        <v>12250</v>
      </c>
      <c r="AV19" s="23">
        <v>0.1736</v>
      </c>
      <c r="AW19" s="2">
        <v>38.65368</v>
      </c>
      <c r="AX19" s="3">
        <v>44.61906</v>
      </c>
      <c r="AY19" s="3">
        <v>31.17569</v>
      </c>
      <c r="AZ19" s="3">
        <v>15.6466</v>
      </c>
      <c r="BA19" s="3">
        <v>39.87978</v>
      </c>
      <c r="BB19" s="3">
        <v>148.70716</v>
      </c>
      <c r="BC19" s="15">
        <f t="shared" si="26"/>
        <v>84721007673.6224</v>
      </c>
      <c r="BD19" s="15">
        <f t="shared" si="27"/>
        <v>27816000752.1253</v>
      </c>
      <c r="BE19" s="15">
        <f t="shared" si="28"/>
        <v>680651136632.965</v>
      </c>
      <c r="BF19" s="11">
        <f t="shared" si="29"/>
        <v>7.93188145058713</v>
      </c>
    </row>
    <row r="20" spans="1:58">
      <c r="A20" s="2">
        <v>2036</v>
      </c>
      <c r="B20" s="2">
        <v>31484</v>
      </c>
      <c r="C20" s="7">
        <f t="shared" si="1"/>
        <v>0.317851862165086</v>
      </c>
      <c r="D20" s="8">
        <v>0.25945298034334</v>
      </c>
      <c r="E20" s="8">
        <v>0.0583988818217463</v>
      </c>
      <c r="F20" s="9">
        <v>0.682148137834914</v>
      </c>
      <c r="G20" s="2">
        <v>412157</v>
      </c>
      <c r="H20" s="4">
        <f t="shared" si="2"/>
        <v>107948.745657663</v>
      </c>
      <c r="I20" s="2">
        <v>80932.8211950315</v>
      </c>
      <c r="J20" s="2">
        <v>27015.9244626316</v>
      </c>
      <c r="K20" s="2">
        <v>304209.300002787</v>
      </c>
      <c r="L20" s="17">
        <v>10007.2480284056</v>
      </c>
      <c r="M20" s="17">
        <v>3366.00035689723</v>
      </c>
      <c r="N20" s="2">
        <v>8168.61763312971</v>
      </c>
      <c r="O20" s="2">
        <v>2629.7661856242</v>
      </c>
      <c r="P20" s="4">
        <f t="shared" si="3"/>
        <v>5538.85144750551</v>
      </c>
      <c r="Q20" s="4">
        <f t="shared" si="4"/>
        <v>0</v>
      </c>
      <c r="R20" s="4">
        <f t="shared" si="5"/>
        <v>5538.85144750551</v>
      </c>
      <c r="S20" s="4">
        <f t="shared" si="6"/>
        <v>83562.5873806557</v>
      </c>
      <c r="T20" s="4">
        <f t="shared" si="7"/>
        <v>0.0314706170315757</v>
      </c>
      <c r="U20" s="24">
        <f t="shared" si="8"/>
        <v>0.11284</v>
      </c>
      <c r="V20" s="4">
        <f t="shared" si="9"/>
        <v>2926.50900201003</v>
      </c>
      <c r="W20" s="4">
        <f t="shared" si="10"/>
        <v>80636.0783786457</v>
      </c>
      <c r="X20" s="2">
        <v>1838.63039527586</v>
      </c>
      <c r="Y20" s="2">
        <v>736.23417127303</v>
      </c>
      <c r="Z20" s="4">
        <f t="shared" si="11"/>
        <v>1102.39622400283</v>
      </c>
      <c r="AA20" s="4">
        <f t="shared" si="12"/>
        <v>0</v>
      </c>
      <c r="AB20" s="4">
        <f t="shared" si="13"/>
        <v>1102.39622400283</v>
      </c>
      <c r="AC20" s="4">
        <f t="shared" si="14"/>
        <v>27752.1586339047</v>
      </c>
      <c r="AD20" s="4">
        <f t="shared" si="15"/>
        <v>0.026528897480918</v>
      </c>
      <c r="AE20" s="24">
        <f t="shared" si="16"/>
        <v>0.11284</v>
      </c>
      <c r="AF20" s="4">
        <f t="shared" si="17"/>
        <v>819.31083515948</v>
      </c>
      <c r="AG20" s="4">
        <f t="shared" si="18"/>
        <v>26932.8477987452</v>
      </c>
      <c r="AH20" s="2">
        <v>21476.7519715944</v>
      </c>
      <c r="AI20" s="2">
        <v>23220.8799348724</v>
      </c>
      <c r="AJ20" s="24">
        <v>0</v>
      </c>
      <c r="AK20" s="4">
        <f t="shared" si="19"/>
        <v>0</v>
      </c>
      <c r="AL20" s="4">
        <f t="shared" si="20"/>
        <v>21476.7519715944</v>
      </c>
      <c r="AM20" s="4">
        <f t="shared" si="21"/>
        <v>327430.179937659</v>
      </c>
      <c r="AN20" s="4">
        <f t="shared" si="22"/>
        <v>0.0709185693856733</v>
      </c>
      <c r="AO20" s="4">
        <v>0</v>
      </c>
      <c r="AP20" s="4">
        <f t="shared" si="23"/>
        <v>23220.8799348724</v>
      </c>
      <c r="AQ20" s="4">
        <f t="shared" si="24"/>
        <v>304209.300002787</v>
      </c>
      <c r="AR20" s="15">
        <v>0</v>
      </c>
      <c r="AS20" s="4">
        <f t="shared" si="25"/>
        <v>0</v>
      </c>
      <c r="AT20" s="3">
        <f t="shared" si="0"/>
        <v>14552.64</v>
      </c>
      <c r="AU20" s="3">
        <v>12400</v>
      </c>
      <c r="AV20" s="23">
        <v>0.1736</v>
      </c>
      <c r="AW20" s="2">
        <v>37.91339</v>
      </c>
      <c r="AX20" s="3">
        <v>43.50685</v>
      </c>
      <c r="AY20" s="3">
        <v>30.39993</v>
      </c>
      <c r="AZ20" s="3">
        <v>14.71063</v>
      </c>
      <c r="BA20" s="3">
        <v>38.72802</v>
      </c>
      <c r="BB20" s="3">
        <v>147.54668</v>
      </c>
      <c r="BC20" s="15">
        <f t="shared" si="26"/>
        <v>84866736994.5275</v>
      </c>
      <c r="BD20" s="15">
        <f t="shared" si="27"/>
        <v>25648775883.9616</v>
      </c>
      <c r="BE20" s="15">
        <f t="shared" si="28"/>
        <v>678012762503.509</v>
      </c>
      <c r="BF20" s="11">
        <f t="shared" si="29"/>
        <v>7.88528275381998</v>
      </c>
    </row>
    <row r="21" spans="1:58">
      <c r="A21" s="2">
        <v>2037</v>
      </c>
      <c r="B21" s="2">
        <v>31388</v>
      </c>
      <c r="C21" s="7">
        <f t="shared" si="1"/>
        <v>0.317843532193353</v>
      </c>
      <c r="D21" s="8">
        <v>0.262208314768073</v>
      </c>
      <c r="E21" s="8">
        <v>0.0556352174252805</v>
      </c>
      <c r="F21" s="9">
        <v>0.682156467806647</v>
      </c>
      <c r="G21" s="2">
        <v>416303</v>
      </c>
      <c r="H21" s="4">
        <f t="shared" si="2"/>
        <v>113857.64656633</v>
      </c>
      <c r="I21" s="2">
        <v>86011.3440448509</v>
      </c>
      <c r="J21" s="2">
        <v>27846.3025214793</v>
      </c>
      <c r="K21" s="2">
        <v>302445.086558066</v>
      </c>
      <c r="L21" s="17">
        <v>9976.47278848498</v>
      </c>
      <c r="M21" s="17">
        <v>4067.57187981789</v>
      </c>
      <c r="N21" s="2">
        <v>8230.19458394027</v>
      </c>
      <c r="O21" s="2">
        <v>3151.67173412092</v>
      </c>
      <c r="P21" s="4">
        <f t="shared" si="3"/>
        <v>5078.52284981935</v>
      </c>
      <c r="Q21" s="4">
        <f t="shared" si="4"/>
        <v>0</v>
      </c>
      <c r="R21" s="4">
        <f t="shared" si="5"/>
        <v>5078.52284981935</v>
      </c>
      <c r="S21" s="4">
        <f t="shared" si="6"/>
        <v>89163.0157789718</v>
      </c>
      <c r="T21" s="4">
        <f t="shared" si="7"/>
        <v>0.035347298502483</v>
      </c>
      <c r="U21" s="24">
        <f t="shared" si="8"/>
        <v>0.11284</v>
      </c>
      <c r="V21" s="4">
        <f t="shared" si="9"/>
        <v>3507.30637259912</v>
      </c>
      <c r="W21" s="4">
        <f t="shared" si="10"/>
        <v>85655.7094063727</v>
      </c>
      <c r="X21" s="2">
        <v>1746.2782045447</v>
      </c>
      <c r="Y21" s="2">
        <v>915.900145696971</v>
      </c>
      <c r="Z21" s="4">
        <f t="shared" si="11"/>
        <v>830.378058847729</v>
      </c>
      <c r="AA21" s="4">
        <f t="shared" si="12"/>
        <v>0</v>
      </c>
      <c r="AB21" s="4">
        <f t="shared" si="13"/>
        <v>830.378058847729</v>
      </c>
      <c r="AC21" s="4">
        <f t="shared" si="14"/>
        <v>28762.2026671763</v>
      </c>
      <c r="AD21" s="4">
        <f t="shared" si="15"/>
        <v>0.031843880536389</v>
      </c>
      <c r="AE21" s="24">
        <f t="shared" si="16"/>
        <v>0.11284</v>
      </c>
      <c r="AF21" s="4">
        <f t="shared" si="17"/>
        <v>1019.25031813742</v>
      </c>
      <c r="AG21" s="4">
        <f t="shared" si="18"/>
        <v>27742.9523490389</v>
      </c>
      <c r="AH21" s="2">
        <v>21411.527211515</v>
      </c>
      <c r="AI21" s="2">
        <v>23175.7406562357</v>
      </c>
      <c r="AJ21" s="24">
        <v>0</v>
      </c>
      <c r="AK21" s="4">
        <f t="shared" si="19"/>
        <v>0</v>
      </c>
      <c r="AL21" s="4">
        <f t="shared" si="20"/>
        <v>21411.527211515</v>
      </c>
      <c r="AM21" s="4">
        <f t="shared" si="21"/>
        <v>325620.827214302</v>
      </c>
      <c r="AN21" s="4">
        <f t="shared" si="22"/>
        <v>0.0711740119773819</v>
      </c>
      <c r="AO21" s="4">
        <v>0</v>
      </c>
      <c r="AP21" s="4">
        <f t="shared" si="23"/>
        <v>23175.7406562357</v>
      </c>
      <c r="AQ21" s="4">
        <f t="shared" si="24"/>
        <v>302445.086558066</v>
      </c>
      <c r="AR21" s="15">
        <v>0</v>
      </c>
      <c r="AS21" s="4">
        <f t="shared" si="25"/>
        <v>0</v>
      </c>
      <c r="AT21" s="3">
        <f t="shared" si="0"/>
        <v>14716.944</v>
      </c>
      <c r="AU21" s="3">
        <v>12540</v>
      </c>
      <c r="AV21" s="23">
        <v>0.1736</v>
      </c>
      <c r="AW21" s="2">
        <v>37.23329</v>
      </c>
      <c r="AX21" s="3">
        <v>42.46779</v>
      </c>
      <c r="AY21" s="3">
        <v>29.63345</v>
      </c>
      <c r="AZ21" s="3">
        <v>13.87251</v>
      </c>
      <c r="BA21" s="3">
        <v>37.77292</v>
      </c>
      <c r="BB21" s="3">
        <v>146.48479</v>
      </c>
      <c r="BC21" s="15">
        <f t="shared" si="26"/>
        <v>85134842715.1521</v>
      </c>
      <c r="BD21" s="15">
        <f t="shared" si="27"/>
        <v>23207106829.5606</v>
      </c>
      <c r="BE21" s="15">
        <f t="shared" si="28"/>
        <v>674916171485.782</v>
      </c>
      <c r="BF21" s="11">
        <f t="shared" si="29"/>
        <v>7.83258121030495</v>
      </c>
    </row>
    <row r="22" spans="1:58">
      <c r="A22" s="2">
        <v>2038</v>
      </c>
      <c r="B22" s="2">
        <v>31354</v>
      </c>
      <c r="C22" s="7">
        <f t="shared" si="1"/>
        <v>0.326731731264237</v>
      </c>
      <c r="D22" s="8">
        <v>0.267911710400075</v>
      </c>
      <c r="E22" s="8">
        <v>0.0588200208641614</v>
      </c>
      <c r="F22" s="9">
        <v>0.673268268735763</v>
      </c>
      <c r="G22" s="2">
        <v>419771</v>
      </c>
      <c r="H22" s="4">
        <f t="shared" si="2"/>
        <v>119281.408698359</v>
      </c>
      <c r="I22" s="2">
        <v>90699.0433046017</v>
      </c>
      <c r="J22" s="2">
        <v>28582.3653937573</v>
      </c>
      <c r="K22" s="2">
        <v>300489.858800894</v>
      </c>
      <c r="L22" s="17">
        <v>10244.3467020589</v>
      </c>
      <c r="M22" s="17">
        <v>4820.58457003007</v>
      </c>
      <c r="N22" s="2">
        <v>8400.10376788396</v>
      </c>
      <c r="O22" s="2">
        <v>3712.40450813313</v>
      </c>
      <c r="P22" s="4">
        <f t="shared" si="3"/>
        <v>4687.69925975083</v>
      </c>
      <c r="Q22" s="4">
        <f t="shared" si="4"/>
        <v>0</v>
      </c>
      <c r="R22" s="4">
        <f t="shared" si="5"/>
        <v>4687.69925975083</v>
      </c>
      <c r="S22" s="4">
        <f t="shared" si="6"/>
        <v>94411.4478127349</v>
      </c>
      <c r="T22" s="4">
        <f t="shared" si="7"/>
        <v>0.0393215504490164</v>
      </c>
      <c r="U22" s="24">
        <f t="shared" si="8"/>
        <v>0.11284</v>
      </c>
      <c r="V22" s="4">
        <f t="shared" si="9"/>
        <v>4131.31223283088</v>
      </c>
      <c r="W22" s="4">
        <f t="shared" si="10"/>
        <v>90280.135579904</v>
      </c>
      <c r="X22" s="2">
        <v>1844.24293417492</v>
      </c>
      <c r="Y22" s="2">
        <v>1108.18006189694</v>
      </c>
      <c r="Z22" s="4">
        <f t="shared" si="11"/>
        <v>736.06287227798</v>
      </c>
      <c r="AA22" s="4">
        <f t="shared" si="12"/>
        <v>0</v>
      </c>
      <c r="AB22" s="4">
        <f t="shared" si="13"/>
        <v>736.06287227798</v>
      </c>
      <c r="AC22" s="4">
        <f t="shared" si="14"/>
        <v>29690.5454556542</v>
      </c>
      <c r="AD22" s="4">
        <f t="shared" si="15"/>
        <v>0.0373243416343467</v>
      </c>
      <c r="AE22" s="24">
        <f t="shared" si="16"/>
        <v>0.11284</v>
      </c>
      <c r="AF22" s="4">
        <f t="shared" si="17"/>
        <v>1233.22710008139</v>
      </c>
      <c r="AG22" s="4">
        <f t="shared" si="18"/>
        <v>28457.3183555728</v>
      </c>
      <c r="AH22" s="2">
        <v>21109.6532979411</v>
      </c>
      <c r="AI22" s="2">
        <v>23064.8810551133</v>
      </c>
      <c r="AJ22" s="24">
        <v>0</v>
      </c>
      <c r="AK22" s="4">
        <f t="shared" si="19"/>
        <v>0</v>
      </c>
      <c r="AL22" s="4">
        <f t="shared" si="20"/>
        <v>21109.6532979411</v>
      </c>
      <c r="AM22" s="4">
        <f t="shared" si="21"/>
        <v>323554.739856007</v>
      </c>
      <c r="AN22" s="4">
        <f t="shared" si="22"/>
        <v>0.0712858697893839</v>
      </c>
      <c r="AO22" s="4">
        <v>0</v>
      </c>
      <c r="AP22" s="4">
        <f t="shared" si="23"/>
        <v>23064.8810551133</v>
      </c>
      <c r="AQ22" s="4">
        <f t="shared" si="24"/>
        <v>300489.858800894</v>
      </c>
      <c r="AR22" s="15">
        <v>0</v>
      </c>
      <c r="AS22" s="4">
        <f t="shared" si="25"/>
        <v>0</v>
      </c>
      <c r="AT22" s="3">
        <f t="shared" si="0"/>
        <v>14904.72</v>
      </c>
      <c r="AU22" s="3">
        <v>12700</v>
      </c>
      <c r="AV22" s="23">
        <v>0.1736</v>
      </c>
      <c r="AW22" s="2">
        <v>36.53469</v>
      </c>
      <c r="AX22" s="3">
        <v>41.44239</v>
      </c>
      <c r="AY22" s="3">
        <v>28.91416</v>
      </c>
      <c r="AZ22" s="3">
        <v>13.06506</v>
      </c>
      <c r="BA22" s="3">
        <v>36.83458</v>
      </c>
      <c r="BB22" s="3">
        <v>145.45331</v>
      </c>
      <c r="BC22" s="15">
        <f t="shared" si="26"/>
        <v>86193149098.4486</v>
      </c>
      <c r="BD22" s="15">
        <f t="shared" si="27"/>
        <v>22443176203.1463</v>
      </c>
      <c r="BE22" s="15">
        <f t="shared" si="28"/>
        <v>671357089833.815</v>
      </c>
      <c r="BF22" s="11">
        <f t="shared" si="29"/>
        <v>7.7999341513541</v>
      </c>
    </row>
    <row r="23" spans="1:58">
      <c r="A23" s="2">
        <v>2039</v>
      </c>
      <c r="B23" s="2">
        <v>31390</v>
      </c>
      <c r="C23" s="7">
        <f t="shared" si="1"/>
        <v>0.356712645503289</v>
      </c>
      <c r="D23" s="8">
        <v>0.296357915905703</v>
      </c>
      <c r="E23" s="8">
        <v>0.0603547295975854</v>
      </c>
      <c r="F23" s="9">
        <v>0.643287354496711</v>
      </c>
      <c r="G23" s="2">
        <v>422668</v>
      </c>
      <c r="H23" s="4">
        <f t="shared" si="2"/>
        <v>124839.995464472</v>
      </c>
      <c r="I23" s="2">
        <v>95681.1336603316</v>
      </c>
      <c r="J23" s="2">
        <v>29158.8618041403</v>
      </c>
      <c r="K23" s="2">
        <v>297827.704529606</v>
      </c>
      <c r="L23" s="17">
        <v>11197.2099423482</v>
      </c>
      <c r="M23" s="17">
        <v>5638.62317623541</v>
      </c>
      <c r="N23" s="2">
        <v>9302.67498028003</v>
      </c>
      <c r="O23" s="2">
        <v>4320.58462455015</v>
      </c>
      <c r="P23" s="4">
        <f t="shared" si="3"/>
        <v>4982.09035572988</v>
      </c>
      <c r="Q23" s="4">
        <f t="shared" si="4"/>
        <v>0</v>
      </c>
      <c r="R23" s="4">
        <f t="shared" si="5"/>
        <v>4982.09035572988</v>
      </c>
      <c r="S23" s="4">
        <f t="shared" si="6"/>
        <v>100001.718284882</v>
      </c>
      <c r="T23" s="4">
        <f t="shared" si="7"/>
        <v>0.0432051038587338</v>
      </c>
      <c r="U23" s="24">
        <f t="shared" si="8"/>
        <v>0.11284</v>
      </c>
      <c r="V23" s="4">
        <f t="shared" si="9"/>
        <v>4808.11939358441</v>
      </c>
      <c r="W23" s="4">
        <f t="shared" si="10"/>
        <v>95193.5988912976</v>
      </c>
      <c r="X23" s="2">
        <v>1894.53496206821</v>
      </c>
      <c r="Y23" s="2">
        <v>1318.03855168526</v>
      </c>
      <c r="Z23" s="4">
        <f t="shared" si="11"/>
        <v>576.49641038295</v>
      </c>
      <c r="AA23" s="4">
        <f t="shared" si="12"/>
        <v>0</v>
      </c>
      <c r="AB23" s="4">
        <f t="shared" si="13"/>
        <v>576.49641038295</v>
      </c>
      <c r="AC23" s="4">
        <f t="shared" si="14"/>
        <v>30476.9003558255</v>
      </c>
      <c r="AD23" s="4">
        <f t="shared" si="15"/>
        <v>0.0432471326249331</v>
      </c>
      <c r="AE23" s="24">
        <f t="shared" si="16"/>
        <v>0.11284</v>
      </c>
      <c r="AF23" s="4">
        <f t="shared" si="17"/>
        <v>1466.76602185742</v>
      </c>
      <c r="AG23" s="4">
        <f t="shared" si="18"/>
        <v>29010.1343339681</v>
      </c>
      <c r="AH23" s="2">
        <v>20192.7900576518</v>
      </c>
      <c r="AI23" s="2">
        <v>22854.9443289395</v>
      </c>
      <c r="AJ23" s="24">
        <v>0</v>
      </c>
      <c r="AK23" s="4">
        <f t="shared" si="19"/>
        <v>0</v>
      </c>
      <c r="AL23" s="4">
        <f t="shared" si="20"/>
        <v>20192.7900576518</v>
      </c>
      <c r="AM23" s="4">
        <f t="shared" si="21"/>
        <v>320682.648858546</v>
      </c>
      <c r="AN23" s="4">
        <f t="shared" si="22"/>
        <v>0.0712696630462876</v>
      </c>
      <c r="AO23" s="4">
        <v>0</v>
      </c>
      <c r="AP23" s="4">
        <f t="shared" si="23"/>
        <v>22854.9443289395</v>
      </c>
      <c r="AQ23" s="4">
        <f t="shared" si="24"/>
        <v>297827.704529606</v>
      </c>
      <c r="AR23" s="15">
        <v>0</v>
      </c>
      <c r="AS23" s="4">
        <f t="shared" si="25"/>
        <v>0</v>
      </c>
      <c r="AT23" s="3">
        <f t="shared" si="0"/>
        <v>15069.024</v>
      </c>
      <c r="AU23" s="3">
        <v>12840</v>
      </c>
      <c r="AV23" s="23">
        <v>0.1736</v>
      </c>
      <c r="AW23" s="2">
        <v>35.88822</v>
      </c>
      <c r="AX23" s="3">
        <v>40.43014</v>
      </c>
      <c r="AY23" s="3">
        <v>28.16666</v>
      </c>
      <c r="AZ23" s="3">
        <v>12.28909</v>
      </c>
      <c r="BA23" s="3">
        <v>35.91202</v>
      </c>
      <c r="BB23" s="3">
        <v>144.51479</v>
      </c>
      <c r="BC23" s="15">
        <f t="shared" si="26"/>
        <v>93091749809.1984</v>
      </c>
      <c r="BD23" s="15">
        <f t="shared" si="27"/>
        <v>20967491810.0054</v>
      </c>
      <c r="BE23" s="15">
        <f t="shared" si="28"/>
        <v>662183965839.624</v>
      </c>
      <c r="BF23" s="11">
        <f t="shared" si="29"/>
        <v>7.76243207458828</v>
      </c>
    </row>
    <row r="24" spans="1:58">
      <c r="A24" s="2">
        <v>2040</v>
      </c>
      <c r="B24" s="2">
        <v>31159</v>
      </c>
      <c r="C24" s="7">
        <f t="shared" si="1"/>
        <v>0.385768622883877</v>
      </c>
      <c r="D24" s="8">
        <v>0.323993414060787</v>
      </c>
      <c r="E24" s="8">
        <v>0.0617752088230906</v>
      </c>
      <c r="F24" s="9">
        <v>0.614231377116123</v>
      </c>
      <c r="G24" s="2">
        <v>424773</v>
      </c>
      <c r="H24" s="4">
        <f t="shared" si="2"/>
        <v>130410.466471601</v>
      </c>
      <c r="I24" s="2">
        <v>100864.175661551</v>
      </c>
      <c r="J24" s="2">
        <v>29546.29081005</v>
      </c>
      <c r="K24" s="2">
        <v>294361.646253634</v>
      </c>
      <c r="L24" s="17">
        <v>12020.1645204387</v>
      </c>
      <c r="M24" s="17">
        <v>6449.69351330967</v>
      </c>
      <c r="N24" s="2">
        <v>10095.3107887201</v>
      </c>
      <c r="O24" s="2">
        <v>4912.2687875008</v>
      </c>
      <c r="P24" s="4">
        <f t="shared" si="3"/>
        <v>5183.0420012193</v>
      </c>
      <c r="Q24" s="4">
        <f t="shared" si="4"/>
        <v>0</v>
      </c>
      <c r="R24" s="4">
        <f t="shared" si="5"/>
        <v>5183.0420012193</v>
      </c>
      <c r="S24" s="4">
        <f t="shared" si="6"/>
        <v>105776.444449052</v>
      </c>
      <c r="T24" s="4">
        <f t="shared" si="7"/>
        <v>0.0464401012256263</v>
      </c>
      <c r="U24" s="24">
        <f t="shared" si="8"/>
        <v>0.11284</v>
      </c>
      <c r="V24" s="4">
        <f t="shared" si="9"/>
        <v>5466.5691974824</v>
      </c>
      <c r="W24" s="4">
        <f t="shared" si="10"/>
        <v>100309.87525157</v>
      </c>
      <c r="X24" s="2">
        <v>1924.85373171868</v>
      </c>
      <c r="Y24" s="2">
        <v>1537.42472580889</v>
      </c>
      <c r="Z24" s="4">
        <f t="shared" si="11"/>
        <v>387.42900590979</v>
      </c>
      <c r="AA24" s="4">
        <f t="shared" si="12"/>
        <v>0</v>
      </c>
      <c r="AB24" s="4">
        <f t="shared" si="13"/>
        <v>387.42900590979</v>
      </c>
      <c r="AC24" s="4">
        <f t="shared" si="14"/>
        <v>31083.715535859</v>
      </c>
      <c r="AD24" s="4">
        <f t="shared" si="15"/>
        <v>0.0494607771080417</v>
      </c>
      <c r="AE24" s="24">
        <f t="shared" si="16"/>
        <v>0.11284</v>
      </c>
      <c r="AF24" s="4">
        <f t="shared" si="17"/>
        <v>1710.90773186917</v>
      </c>
      <c r="AG24" s="4">
        <f t="shared" si="18"/>
        <v>29372.8078039898</v>
      </c>
      <c r="AH24" s="2">
        <v>19138.8354795613</v>
      </c>
      <c r="AI24" s="2">
        <v>22604.8937555335</v>
      </c>
      <c r="AJ24" s="24">
        <v>0</v>
      </c>
      <c r="AK24" s="4">
        <f t="shared" si="19"/>
        <v>0</v>
      </c>
      <c r="AL24" s="4">
        <f t="shared" si="20"/>
        <v>19138.8354795613</v>
      </c>
      <c r="AM24" s="4">
        <f t="shared" si="21"/>
        <v>316966.540009167</v>
      </c>
      <c r="AN24" s="4">
        <f t="shared" si="22"/>
        <v>0.0713163406928684</v>
      </c>
      <c r="AO24" s="4">
        <v>0</v>
      </c>
      <c r="AP24" s="4">
        <f t="shared" si="23"/>
        <v>22604.8937555335</v>
      </c>
      <c r="AQ24" s="4">
        <f t="shared" si="24"/>
        <v>294361.646253634</v>
      </c>
      <c r="AR24" s="15">
        <v>0</v>
      </c>
      <c r="AS24" s="4">
        <f t="shared" si="25"/>
        <v>0</v>
      </c>
      <c r="AT24" s="3">
        <f t="shared" si="0"/>
        <v>15245.064</v>
      </c>
      <c r="AU24" s="3">
        <v>12990</v>
      </c>
      <c r="AV24" s="23">
        <v>0.1736</v>
      </c>
      <c r="AW24" s="2">
        <v>35.28886</v>
      </c>
      <c r="AX24" s="3">
        <v>39.4305</v>
      </c>
      <c r="AY24" s="3">
        <v>27.46598</v>
      </c>
      <c r="AZ24" s="3">
        <v>11.60146</v>
      </c>
      <c r="BA24" s="3">
        <v>35.08617</v>
      </c>
      <c r="BB24" s="3">
        <v>143.60466</v>
      </c>
      <c r="BC24" s="15">
        <f t="shared" si="26"/>
        <v>99207576283.9866</v>
      </c>
      <c r="BD24" s="15">
        <f t="shared" si="27"/>
        <v>19204620555.5172</v>
      </c>
      <c r="BE24" s="15">
        <f t="shared" si="28"/>
        <v>651535626721.125</v>
      </c>
      <c r="BF24" s="11">
        <f t="shared" si="29"/>
        <v>7.69947823560629</v>
      </c>
    </row>
    <row r="25" spans="1:58">
      <c r="A25" s="2">
        <v>2041</v>
      </c>
      <c r="B25" s="2">
        <v>31288</v>
      </c>
      <c r="F25" s="9"/>
      <c r="M25" s="17"/>
      <c r="U25" s="25"/>
      <c r="AT25" s="3">
        <f t="shared" si="0"/>
        <v>13140</v>
      </c>
      <c r="AU25" s="3">
        <v>13140</v>
      </c>
      <c r="AW25" s="2"/>
    </row>
    <row r="26" spans="1:58">
      <c r="A26" s="2">
        <v>2042</v>
      </c>
      <c r="B26" s="2">
        <v>31331</v>
      </c>
      <c r="F26" s="9"/>
      <c r="AT26" s="3">
        <f t="shared" si="0"/>
        <v>13270</v>
      </c>
      <c r="AU26" s="3">
        <v>13270</v>
      </c>
      <c r="AW26" s="2"/>
    </row>
    <row r="27" spans="1:58">
      <c r="A27" s="2">
        <v>2043</v>
      </c>
      <c r="B27" s="2">
        <v>31300</v>
      </c>
      <c r="F27" s="9"/>
      <c r="AT27" s="3">
        <f t="shared" si="0"/>
        <v>13390</v>
      </c>
      <c r="AU27" s="3">
        <v>13390</v>
      </c>
      <c r="AW27" s="2"/>
    </row>
    <row r="28" spans="1:58">
      <c r="A28" s="2">
        <v>2044</v>
      </c>
      <c r="B28" s="2">
        <v>31233</v>
      </c>
      <c r="F28" s="9"/>
      <c r="AT28" s="3">
        <f t="shared" si="0"/>
        <v>13510</v>
      </c>
      <c r="AU28" s="3">
        <v>13510</v>
      </c>
      <c r="AW28" s="2"/>
    </row>
    <row r="29" spans="1:58">
      <c r="A29" s="2">
        <v>2045</v>
      </c>
      <c r="B29" s="2">
        <v>31117</v>
      </c>
      <c r="F29" s="9"/>
      <c r="O29" s="17"/>
      <c r="Q29" s="17"/>
      <c r="R29" s="17"/>
      <c r="S29" s="17"/>
      <c r="T29" s="17"/>
      <c r="U29" s="17"/>
      <c r="V29" s="17"/>
      <c r="W29" s="17"/>
      <c r="AA29" s="17"/>
      <c r="AB29" s="17"/>
      <c r="AC29" s="17"/>
      <c r="AD29" s="17"/>
      <c r="AE29" s="17"/>
      <c r="AF29" s="17"/>
      <c r="AG29" s="17"/>
      <c r="AJ29" s="17"/>
      <c r="AK29" s="17"/>
      <c r="AL29" s="17"/>
      <c r="AM29" s="17"/>
      <c r="AN29" s="17"/>
      <c r="AO29" s="17"/>
      <c r="AP29" s="17"/>
      <c r="AQ29" s="17"/>
      <c r="AR29" s="17"/>
      <c r="AT29" s="3">
        <f t="shared" si="0"/>
        <v>13620</v>
      </c>
      <c r="AU29" s="3">
        <v>13620</v>
      </c>
      <c r="AW29" s="2"/>
    </row>
    <row r="30" spans="1:58">
      <c r="A30" s="2">
        <v>2046</v>
      </c>
      <c r="B30" s="2">
        <v>30947</v>
      </c>
      <c r="F30" s="9"/>
      <c r="AT30" s="3">
        <f t="shared" si="0"/>
        <v>13720</v>
      </c>
      <c r="AU30" s="3">
        <v>13720</v>
      </c>
      <c r="AW30" s="2"/>
      <c r="BF30" s="3">
        <f>SUM(BF5:BF24)</f>
        <v>156.571754448307</v>
      </c>
    </row>
    <row r="31" spans="1:58">
      <c r="A31" s="2">
        <v>2047</v>
      </c>
      <c r="B31" s="2">
        <v>30717</v>
      </c>
      <c r="F31" s="9"/>
      <c r="AT31" s="3">
        <f t="shared" si="0"/>
        <v>13800</v>
      </c>
      <c r="AU31" s="3">
        <v>13800</v>
      </c>
      <c r="AW31" s="2"/>
    </row>
    <row r="32" spans="1:58">
      <c r="A32" s="2">
        <v>2048</v>
      </c>
      <c r="B32" s="2">
        <v>30435</v>
      </c>
      <c r="F32" s="9"/>
      <c r="AT32" s="3">
        <f t="shared" si="0"/>
        <v>13880</v>
      </c>
      <c r="AU32" s="3">
        <v>13880</v>
      </c>
      <c r="AW32" s="2"/>
    </row>
    <row r="33" spans="1:58">
      <c r="A33" s="2">
        <v>2049</v>
      </c>
      <c r="B33" s="2">
        <v>30101</v>
      </c>
      <c r="F33" s="9"/>
      <c r="AT33" s="3">
        <f t="shared" si="0"/>
        <v>13950</v>
      </c>
      <c r="AU33" s="3">
        <v>13950</v>
      </c>
      <c r="AW33" s="2"/>
    </row>
    <row r="34" spans="1:58">
      <c r="A34" s="2">
        <v>2050</v>
      </c>
      <c r="B34" s="2">
        <v>29716</v>
      </c>
      <c r="F34" s="9"/>
      <c r="AT34" s="3">
        <f t="shared" si="0"/>
        <v>14020</v>
      </c>
      <c r="AU34" s="3">
        <v>14020</v>
      </c>
    </row>
    <row r="35" spans="1:58">
      <c r="I35" s="18"/>
      <c r="BF35" s="3">
        <f>SUM(BF5:BF24)</f>
        <v>156.571754448307</v>
      </c>
    </row>
    <row r="36" spans="1:58">
      <c r="G36" s="19"/>
      <c r="I36" s="18"/>
      <c r="L36" s="19"/>
      <c r="M36" s="19"/>
      <c r="AI36" s="19"/>
    </row>
    <row r="37" spans="1:58">
      <c r="I37" s="18"/>
      <c r="L37" s="17"/>
      <c r="M37" s="17"/>
    </row>
    <row r="38" spans="1:58">
      <c r="I38" s="18"/>
      <c r="L38" s="17"/>
      <c r="M38" s="17"/>
    </row>
    <row r="39" spans="1:58">
      <c r="I39" s="18"/>
      <c r="L39" s="17"/>
      <c r="M39" s="17"/>
    </row>
    <row r="40" spans="1:58">
      <c r="B40" s="3"/>
      <c r="I40" s="18"/>
      <c r="L40" s="17"/>
      <c r="M40" s="17"/>
    </row>
    <row r="41" spans="1:58">
      <c r="I41" s="18"/>
      <c r="L41" s="17"/>
      <c r="M41" s="17"/>
    </row>
    <row r="42" spans="1:58">
      <c r="I42" s="18"/>
      <c r="L42" s="17"/>
      <c r="M42" s="17"/>
    </row>
    <row r="43" spans="1:58">
      <c r="I43" s="18"/>
      <c r="L43" s="17"/>
      <c r="M43" s="17"/>
    </row>
    <row r="44" spans="1:58">
      <c r="I44" s="18"/>
      <c r="L44" s="17"/>
      <c r="M44" s="17"/>
    </row>
    <row r="45" spans="1:58">
      <c r="I45" s="18"/>
      <c r="L45" s="17"/>
      <c r="M45" s="17"/>
    </row>
    <row r="46" spans="1:58">
      <c r="I46" s="18"/>
      <c r="L46" s="17"/>
      <c r="M46" s="17"/>
    </row>
    <row r="47" spans="1:58">
      <c r="I47" s="18"/>
      <c r="L47" s="17"/>
      <c r="M47" s="17"/>
    </row>
    <row r="48" spans="1:58">
      <c r="I48" s="18"/>
      <c r="L48" s="17"/>
      <c r="M48" s="17"/>
    </row>
    <row r="49" spans="9:13">
      <c r="I49" s="18"/>
      <c r="L49" s="17"/>
      <c r="M49" s="17"/>
    </row>
    <row r="50" spans="9:13">
      <c r="I50" s="18"/>
      <c r="L50" s="17"/>
      <c r="M50" s="17"/>
    </row>
    <row r="51" spans="9:13">
      <c r="I51" s="18"/>
      <c r="L51" s="17"/>
      <c r="M51" s="17"/>
    </row>
    <row r="52" spans="9:13">
      <c r="I52" s="18"/>
      <c r="L52" s="17"/>
      <c r="M52" s="17"/>
    </row>
    <row r="53" spans="9:13">
      <c r="I53" s="18"/>
      <c r="L53" s="17"/>
      <c r="M53" s="17"/>
    </row>
    <row r="54" spans="9:13">
      <c r="I54" s="18"/>
      <c r="L54" s="17"/>
      <c r="M54" s="17"/>
    </row>
    <row r="55" spans="9:13">
      <c r="I55" s="18"/>
      <c r="L55" s="17"/>
      <c r="M55" s="17"/>
    </row>
    <row r="56" spans="9:13">
      <c r="I56" s="18"/>
      <c r="L56" s="17"/>
      <c r="M56" s="17"/>
    </row>
    <row r="57" spans="9:13">
      <c r="I57" s="18"/>
      <c r="L57" s="17"/>
      <c r="M57" s="17"/>
    </row>
    <row r="58" spans="9:13">
      <c r="I58" s="18"/>
      <c r="L58" s="17"/>
      <c r="M58" s="17"/>
    </row>
    <row r="59" spans="9:13">
      <c r="I59" s="18"/>
      <c r="M59" s="17"/>
    </row>
    <row r="60" spans="9:13">
      <c r="I60" s="18"/>
      <c r="M60" s="17"/>
    </row>
    <row r="61" spans="9:13">
      <c r="I61" s="18"/>
      <c r="M61" s="17"/>
    </row>
    <row r="62" spans="9:13">
      <c r="I62" s="18"/>
      <c r="M62" s="17"/>
    </row>
    <row r="63" spans="9:13">
      <c r="I63" s="18"/>
      <c r="M63" s="17"/>
    </row>
    <row r="64" spans="9:13">
      <c r="I64" s="18"/>
      <c r="M64" s="17"/>
    </row>
    <row r="65" spans="9:13">
      <c r="I65" s="18"/>
      <c r="M65" s="17"/>
    </row>
    <row r="66" spans="9:13">
      <c r="I66" s="18"/>
    </row>
    <row r="67" spans="9:13">
      <c r="I67" s="18"/>
    </row>
    <row r="68" spans="9:13">
      <c r="I68" s="18"/>
    </row>
    <row r="69" spans="9:13">
      <c r="I69" s="18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0"/>
  <sheetViews>
    <sheetView zoomScale="81" zoomScaleNormal="81" workbookViewId="0">
      <selection activeCell="H31" sqref="H31"/>
    </sheetView>
  </sheetViews>
  <sheetFormatPr defaultColWidth="9" defaultRowHeight="14"/>
  <cols>
    <col min="1" max="1" width="9" style="2"/>
    <col min="2" max="2" width="21.3583333333333" style="2" customWidth="1"/>
    <col min="3" max="3" width="16" style="2" customWidth="1"/>
    <col min="4" max="4" width="19.3583333333333" style="3" customWidth="1"/>
    <col min="5" max="6" width="17.1416666666667" style="3" customWidth="1"/>
    <col min="7" max="7" width="11.5" style="3" customWidth="1"/>
    <col min="8" max="8" width="13.8583333333333" style="3" customWidth="1"/>
    <col min="9" max="14" width="9" style="3"/>
    <col min="15" max="16" width="11.2083333333333" style="3" customWidth="1"/>
    <col min="17" max="17" width="12.6416666666667" style="3" customWidth="1"/>
    <col min="18" max="16384" width="9" style="3"/>
  </cols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5" t="s">
        <v>6</v>
      </c>
      <c r="H1" s="5" t="s">
        <v>7</v>
      </c>
      <c r="J1" s="6"/>
    </row>
    <row r="2" spans="1:18">
      <c r="A2" s="2">
        <v>2018</v>
      </c>
      <c r="B2" s="2">
        <v>25411</v>
      </c>
      <c r="C2" s="2">
        <v>202332</v>
      </c>
      <c r="D2" s="3">
        <v>10790</v>
      </c>
    </row>
    <row r="3" spans="1:18">
      <c r="A3" s="2">
        <v>2019</v>
      </c>
      <c r="B3" s="2">
        <v>23562</v>
      </c>
      <c r="C3" s="2">
        <v>222992</v>
      </c>
      <c r="D3" s="3">
        <v>10590</v>
      </c>
    </row>
    <row r="4" spans="1:18">
      <c r="A4" s="2">
        <v>2020</v>
      </c>
      <c r="B4" s="2">
        <v>24584</v>
      </c>
      <c r="C4" s="2">
        <v>240900</v>
      </c>
      <c r="D4" s="3">
        <v>10560</v>
      </c>
      <c r="G4" s="11"/>
      <c r="H4" s="11"/>
    </row>
    <row r="5" s="1" customFormat="1" spans="1:18">
      <c r="A5" s="1">
        <v>2021</v>
      </c>
      <c r="B5" s="1">
        <v>25535</v>
      </c>
      <c r="C5" s="1">
        <v>258441</v>
      </c>
      <c r="D5" s="1">
        <v>10540</v>
      </c>
      <c r="E5" s="3">
        <v>60.36</v>
      </c>
      <c r="F5" s="3">
        <v>205.33</v>
      </c>
      <c r="G5" s="15">
        <f t="shared" ref="G5:G24" si="0">B5*D5*15*E5+C5*F5*D5</f>
        <v>802990738246.2</v>
      </c>
      <c r="H5" s="15">
        <f>(G5)/100000000000</f>
        <v>8.029907382462</v>
      </c>
    </row>
    <row r="6" spans="1:18">
      <c r="A6" s="2">
        <v>2022</v>
      </c>
      <c r="B6" s="2">
        <v>26419</v>
      </c>
      <c r="C6" s="2">
        <v>275271</v>
      </c>
      <c r="D6" s="3">
        <v>10530</v>
      </c>
      <c r="E6" s="3">
        <v>50.4199</v>
      </c>
      <c r="F6" s="3">
        <v>195.74948</v>
      </c>
      <c r="G6" s="15">
        <f t="shared" si="0"/>
        <v>777796398551.507</v>
      </c>
      <c r="H6" s="15">
        <f t="shared" ref="H6:H24" si="1">(G6)/100000000000</f>
        <v>7.77796398551507</v>
      </c>
      <c r="J6" s="1"/>
      <c r="K6" s="1"/>
      <c r="L6" s="1"/>
      <c r="M6" s="1"/>
      <c r="O6" s="1"/>
      <c r="P6" s="1"/>
      <c r="Q6" s="1"/>
      <c r="R6" s="1"/>
    </row>
    <row r="7" spans="1:18">
      <c r="A7" s="2">
        <v>2023</v>
      </c>
      <c r="B7" s="2">
        <v>27241</v>
      </c>
      <c r="C7" s="2">
        <v>291214</v>
      </c>
      <c r="D7" s="3">
        <v>10550</v>
      </c>
      <c r="E7" s="3">
        <v>46.95855</v>
      </c>
      <c r="F7" s="3">
        <v>188.31628</v>
      </c>
      <c r="G7" s="15">
        <f t="shared" si="0"/>
        <v>780998618511.393</v>
      </c>
      <c r="H7" s="15">
        <f t="shared" si="1"/>
        <v>7.80998618511393</v>
      </c>
      <c r="J7" s="1"/>
      <c r="K7" s="1"/>
      <c r="L7" s="1"/>
      <c r="M7" s="1"/>
      <c r="O7" s="1"/>
      <c r="P7" s="1"/>
      <c r="Q7" s="1"/>
      <c r="R7" s="1"/>
    </row>
    <row r="8" spans="1:18">
      <c r="A8" s="2">
        <v>2024</v>
      </c>
      <c r="B8" s="2">
        <v>27993</v>
      </c>
      <c r="C8" s="2">
        <v>306166</v>
      </c>
      <c r="D8" s="3">
        <v>10590</v>
      </c>
      <c r="E8" s="3">
        <v>44.77463</v>
      </c>
      <c r="F8" s="3">
        <v>182.69018</v>
      </c>
      <c r="G8" s="15">
        <f t="shared" si="0"/>
        <v>791434806436.401</v>
      </c>
      <c r="H8" s="15">
        <f t="shared" si="1"/>
        <v>7.91434806436401</v>
      </c>
      <c r="J8" s="1"/>
      <c r="K8" s="1"/>
      <c r="L8" s="1"/>
      <c r="M8" s="1"/>
      <c r="O8" s="1"/>
      <c r="P8" s="1"/>
      <c r="Q8" s="1"/>
      <c r="R8" s="1"/>
    </row>
    <row r="9" spans="1:18">
      <c r="A9" s="2">
        <v>2025</v>
      </c>
      <c r="B9" s="2">
        <v>28671</v>
      </c>
      <c r="C9" s="2">
        <v>320049</v>
      </c>
      <c r="D9" s="3">
        <v>10670</v>
      </c>
      <c r="E9" s="3">
        <v>43.19394</v>
      </c>
      <c r="F9" s="3">
        <v>178.26752</v>
      </c>
      <c r="G9" s="15">
        <f t="shared" si="0"/>
        <v>806977897166.569</v>
      </c>
      <c r="H9" s="15">
        <f t="shared" si="1"/>
        <v>8.06977897166569</v>
      </c>
      <c r="J9" s="1"/>
      <c r="K9" s="1"/>
      <c r="L9" s="1"/>
      <c r="M9" s="1"/>
      <c r="O9" s="1"/>
      <c r="P9" s="1"/>
      <c r="Q9" s="1"/>
      <c r="R9" s="1"/>
    </row>
    <row r="10" spans="1:18">
      <c r="A10" s="2">
        <v>2026</v>
      </c>
      <c r="B10" s="2">
        <v>29267</v>
      </c>
      <c r="C10" s="2">
        <v>332813</v>
      </c>
      <c r="D10" s="3">
        <v>10790</v>
      </c>
      <c r="E10" s="3">
        <v>41.95079</v>
      </c>
      <c r="F10" s="3">
        <v>174.61368</v>
      </c>
      <c r="G10" s="15">
        <f t="shared" si="0"/>
        <v>825762036762.074</v>
      </c>
      <c r="H10" s="15">
        <f t="shared" si="1"/>
        <v>8.25762036762074</v>
      </c>
      <c r="J10" s="1"/>
      <c r="K10" s="1"/>
      <c r="L10" s="1"/>
      <c r="M10" s="1"/>
      <c r="O10" s="1"/>
      <c r="P10" s="1"/>
      <c r="Q10" s="1"/>
      <c r="R10" s="1"/>
    </row>
    <row r="11" spans="1:18">
      <c r="A11" s="2">
        <v>2027</v>
      </c>
      <c r="B11" s="2">
        <v>29821</v>
      </c>
      <c r="C11" s="2">
        <v>344472</v>
      </c>
      <c r="D11" s="3">
        <v>10940</v>
      </c>
      <c r="E11" s="3">
        <v>40.90286</v>
      </c>
      <c r="F11" s="3">
        <v>171.52633</v>
      </c>
      <c r="G11" s="15">
        <f t="shared" si="0"/>
        <v>846564339609.14</v>
      </c>
      <c r="H11" s="15">
        <f t="shared" si="1"/>
        <v>8.4656433960914</v>
      </c>
      <c r="J11" s="1"/>
      <c r="K11" s="1"/>
      <c r="L11" s="1"/>
      <c r="M11" s="1"/>
      <c r="O11" s="1"/>
      <c r="P11" s="1"/>
      <c r="Q11" s="1"/>
      <c r="R11" s="1"/>
    </row>
    <row r="12" spans="1:18">
      <c r="A12" s="2">
        <v>2028</v>
      </c>
      <c r="B12" s="2">
        <v>30337</v>
      </c>
      <c r="C12" s="2">
        <v>355083</v>
      </c>
      <c r="D12" s="3">
        <v>11100</v>
      </c>
      <c r="E12" s="3">
        <v>39.97678</v>
      </c>
      <c r="F12" s="3">
        <v>168.74739</v>
      </c>
      <c r="G12" s="15">
        <f t="shared" si="0"/>
        <v>867031690479.597</v>
      </c>
      <c r="H12" s="15">
        <f t="shared" si="1"/>
        <v>8.67031690479597</v>
      </c>
      <c r="J12" s="1"/>
      <c r="K12" s="1"/>
      <c r="L12" s="1"/>
      <c r="M12" s="1"/>
      <c r="O12" s="1"/>
      <c r="P12" s="1"/>
      <c r="Q12" s="1"/>
      <c r="R12" s="1"/>
    </row>
    <row r="13" spans="1:18">
      <c r="A13" s="2">
        <v>2029</v>
      </c>
      <c r="B13" s="2">
        <v>30767</v>
      </c>
      <c r="C13" s="2">
        <v>364714</v>
      </c>
      <c r="D13" s="3">
        <v>11270</v>
      </c>
      <c r="E13" s="3">
        <v>39.07243</v>
      </c>
      <c r="F13" s="3">
        <v>166.26447</v>
      </c>
      <c r="G13" s="15">
        <f t="shared" si="0"/>
        <v>886623316370.087</v>
      </c>
      <c r="H13" s="15">
        <f t="shared" si="1"/>
        <v>8.86623316370087</v>
      </c>
      <c r="J13" s="1"/>
      <c r="K13" s="1"/>
      <c r="L13" s="1"/>
      <c r="M13" s="1"/>
      <c r="O13" s="1"/>
      <c r="P13" s="1"/>
      <c r="Q13" s="1"/>
      <c r="R13" s="1"/>
    </row>
    <row r="14" spans="1:18">
      <c r="A14" s="2">
        <v>2030</v>
      </c>
      <c r="B14" s="2">
        <v>31057</v>
      </c>
      <c r="C14" s="2">
        <v>373443</v>
      </c>
      <c r="D14" s="3">
        <v>11440</v>
      </c>
      <c r="E14" s="3">
        <v>38.21938</v>
      </c>
      <c r="F14" s="3">
        <v>163.91616</v>
      </c>
      <c r="G14" s="15">
        <f t="shared" si="0"/>
        <v>903966283892.443</v>
      </c>
      <c r="H14" s="15">
        <f t="shared" si="1"/>
        <v>9.03966283892443</v>
      </c>
      <c r="J14" s="1"/>
      <c r="K14" s="1"/>
      <c r="L14" s="1"/>
      <c r="M14" s="1"/>
      <c r="O14" s="1"/>
      <c r="P14" s="1"/>
      <c r="Q14" s="1"/>
      <c r="R14" s="1"/>
    </row>
    <row r="15" spans="1:18">
      <c r="A15" s="2">
        <v>2031</v>
      </c>
      <c r="B15" s="2">
        <v>31116</v>
      </c>
      <c r="C15" s="2">
        <v>381268</v>
      </c>
      <c r="D15" s="3">
        <v>11620</v>
      </c>
      <c r="E15" s="3">
        <v>37.36846</v>
      </c>
      <c r="F15" s="3">
        <v>161.78325</v>
      </c>
      <c r="G15" s="15">
        <f t="shared" si="0"/>
        <v>919422404327.868</v>
      </c>
      <c r="H15" s="15">
        <f t="shared" si="1"/>
        <v>9.19422404327868</v>
      </c>
      <c r="J15" s="1"/>
      <c r="K15" s="1"/>
      <c r="L15" s="1"/>
      <c r="M15" s="1"/>
      <c r="O15" s="1"/>
      <c r="P15" s="1"/>
      <c r="Q15" s="1"/>
      <c r="R15" s="1"/>
    </row>
    <row r="16" spans="1:18">
      <c r="A16" s="2">
        <v>2032</v>
      </c>
      <c r="B16" s="2">
        <v>31274</v>
      </c>
      <c r="C16" s="2">
        <v>388489</v>
      </c>
      <c r="D16" s="3">
        <v>11780</v>
      </c>
      <c r="E16" s="3">
        <v>36.47878</v>
      </c>
      <c r="F16" s="3">
        <v>159.80693</v>
      </c>
      <c r="G16" s="15">
        <f t="shared" si="0"/>
        <v>932926464093.635</v>
      </c>
      <c r="H16" s="15">
        <f t="shared" si="1"/>
        <v>9.32926464093635</v>
      </c>
      <c r="J16" s="1"/>
      <c r="K16" s="1"/>
      <c r="L16" s="1"/>
      <c r="M16" s="1"/>
      <c r="O16" s="1"/>
      <c r="P16" s="1"/>
      <c r="Q16" s="1"/>
      <c r="R16" s="1"/>
    </row>
    <row r="17" spans="1:18">
      <c r="A17" s="2">
        <v>2033</v>
      </c>
      <c r="B17" s="2">
        <v>31474</v>
      </c>
      <c r="C17" s="2">
        <v>395263</v>
      </c>
      <c r="D17" s="3">
        <v>11940</v>
      </c>
      <c r="E17" s="3">
        <v>35.6325</v>
      </c>
      <c r="F17" s="3">
        <v>157.92497</v>
      </c>
      <c r="G17" s="15">
        <f t="shared" si="0"/>
        <v>946177622485.793</v>
      </c>
      <c r="H17" s="15">
        <f t="shared" si="1"/>
        <v>9.46177622485794</v>
      </c>
      <c r="J17" s="1"/>
      <c r="K17" s="1"/>
      <c r="L17" s="1"/>
      <c r="M17" s="1"/>
      <c r="O17" s="1"/>
      <c r="P17" s="1"/>
      <c r="Q17" s="1"/>
      <c r="R17" s="1"/>
    </row>
    <row r="18" spans="1:18">
      <c r="A18" s="2">
        <v>2034</v>
      </c>
      <c r="B18" s="2">
        <v>31657</v>
      </c>
      <c r="C18" s="2">
        <v>401608</v>
      </c>
      <c r="D18" s="3">
        <v>12100</v>
      </c>
      <c r="E18" s="3">
        <v>34.79038</v>
      </c>
      <c r="F18" s="3">
        <v>156.22634</v>
      </c>
      <c r="G18" s="15">
        <f t="shared" si="0"/>
        <v>959071819580.402</v>
      </c>
      <c r="H18" s="15">
        <f t="shared" si="1"/>
        <v>9.59071819580402</v>
      </c>
      <c r="J18" s="1"/>
      <c r="K18" s="1"/>
      <c r="L18" s="1"/>
      <c r="M18" s="1"/>
      <c r="O18" s="1"/>
      <c r="P18" s="1"/>
      <c r="Q18" s="1"/>
      <c r="R18" s="1"/>
    </row>
    <row r="19" spans="1:18">
      <c r="A19" s="2">
        <v>2035</v>
      </c>
      <c r="B19" s="2">
        <v>31591</v>
      </c>
      <c r="C19" s="2">
        <v>407260</v>
      </c>
      <c r="D19" s="3">
        <v>12250</v>
      </c>
      <c r="E19" s="3">
        <v>33.95363</v>
      </c>
      <c r="F19" s="3">
        <v>154.63978</v>
      </c>
      <c r="G19" s="15">
        <f t="shared" si="0"/>
        <v>968583412613.687</v>
      </c>
      <c r="H19" s="15">
        <f t="shared" si="1"/>
        <v>9.68583412613687</v>
      </c>
      <c r="J19" s="1"/>
      <c r="K19" s="1"/>
      <c r="L19" s="1"/>
      <c r="M19" s="1"/>
      <c r="O19" s="1"/>
      <c r="P19" s="1"/>
      <c r="Q19" s="1"/>
      <c r="R19" s="1"/>
    </row>
    <row r="20" spans="1:18">
      <c r="A20" s="2">
        <v>2036</v>
      </c>
      <c r="B20" s="2">
        <v>31484</v>
      </c>
      <c r="C20" s="2">
        <v>412157</v>
      </c>
      <c r="D20" s="3">
        <v>12400</v>
      </c>
      <c r="E20" s="3">
        <v>33.08415</v>
      </c>
      <c r="F20" s="3">
        <v>153.17</v>
      </c>
      <c r="G20" s="15">
        <f t="shared" si="0"/>
        <v>976554663775.6</v>
      </c>
      <c r="H20" s="15">
        <f t="shared" si="1"/>
        <v>9.765546637756</v>
      </c>
      <c r="J20" s="1"/>
      <c r="K20" s="1"/>
      <c r="L20" s="1"/>
      <c r="M20" s="1"/>
      <c r="O20" s="1"/>
      <c r="P20" s="1"/>
      <c r="Q20" s="1"/>
      <c r="R20" s="1"/>
    </row>
    <row r="21" spans="1:18">
      <c r="A21" s="2">
        <v>2037</v>
      </c>
      <c r="B21" s="2">
        <v>31388</v>
      </c>
      <c r="C21" s="2">
        <v>416303</v>
      </c>
      <c r="D21" s="3">
        <v>12540</v>
      </c>
      <c r="E21" s="3">
        <v>32.26226</v>
      </c>
      <c r="F21" s="3">
        <v>151.81923</v>
      </c>
      <c r="G21" s="15">
        <f t="shared" si="0"/>
        <v>983042177725.021</v>
      </c>
      <c r="H21" s="15">
        <f t="shared" si="1"/>
        <v>9.8304217772502</v>
      </c>
      <c r="J21" s="1"/>
      <c r="K21" s="1"/>
      <c r="L21" s="1"/>
      <c r="M21" s="1"/>
      <c r="O21" s="1"/>
      <c r="P21" s="1"/>
      <c r="Q21" s="1"/>
      <c r="R21" s="1"/>
    </row>
    <row r="22" spans="1:18">
      <c r="A22" s="2">
        <v>2038</v>
      </c>
      <c r="B22" s="2">
        <v>31354</v>
      </c>
      <c r="C22" s="2">
        <v>419771</v>
      </c>
      <c r="D22" s="3">
        <v>12700</v>
      </c>
      <c r="E22" s="3">
        <v>31.44949</v>
      </c>
      <c r="F22" s="3">
        <v>150.52056</v>
      </c>
      <c r="G22" s="15">
        <f t="shared" si="0"/>
        <v>990284730547.482</v>
      </c>
      <c r="H22" s="15">
        <f t="shared" si="1"/>
        <v>9.90284730547482</v>
      </c>
      <c r="J22" s="1"/>
      <c r="K22" s="1"/>
      <c r="L22" s="1"/>
      <c r="M22" s="1"/>
      <c r="O22" s="1"/>
      <c r="P22" s="1"/>
      <c r="Q22" s="1"/>
      <c r="R22" s="1"/>
    </row>
    <row r="23" spans="1:18">
      <c r="A23" s="2">
        <v>2039</v>
      </c>
      <c r="B23" s="2">
        <v>31390</v>
      </c>
      <c r="C23" s="2">
        <v>422668</v>
      </c>
      <c r="D23" s="3">
        <v>12840</v>
      </c>
      <c r="E23" s="3">
        <v>30.64709</v>
      </c>
      <c r="F23" s="3">
        <v>149.34523</v>
      </c>
      <c r="G23" s="15">
        <f t="shared" si="0"/>
        <v>995788634881.798</v>
      </c>
      <c r="H23" s="15">
        <f t="shared" si="1"/>
        <v>9.95788634881798</v>
      </c>
      <c r="J23" s="1"/>
      <c r="K23" s="1"/>
      <c r="L23" s="1"/>
      <c r="M23" s="1"/>
      <c r="O23" s="1"/>
      <c r="P23" s="1"/>
      <c r="Q23" s="1"/>
      <c r="R23" s="1"/>
    </row>
    <row r="24" spans="1:18">
      <c r="A24" s="2">
        <v>2040</v>
      </c>
      <c r="B24" s="2">
        <v>31159</v>
      </c>
      <c r="C24" s="2">
        <v>424773</v>
      </c>
      <c r="D24" s="3">
        <v>12990</v>
      </c>
      <c r="E24" s="3">
        <v>29.85628</v>
      </c>
      <c r="F24" s="3">
        <v>148.29027</v>
      </c>
      <c r="G24" s="15">
        <f t="shared" si="0"/>
        <v>999503602921.765</v>
      </c>
      <c r="H24" s="15">
        <f t="shared" si="1"/>
        <v>9.99503602921765</v>
      </c>
      <c r="J24" s="1"/>
      <c r="K24" s="1"/>
      <c r="L24" s="1"/>
      <c r="M24" s="1"/>
      <c r="O24" s="1"/>
      <c r="P24" s="1"/>
      <c r="Q24" s="1"/>
      <c r="R24" s="1"/>
    </row>
    <row r="25" spans="1:18">
      <c r="A25" s="2">
        <v>2041</v>
      </c>
      <c r="B25" s="2">
        <v>31288</v>
      </c>
      <c r="D25" s="3">
        <v>13140</v>
      </c>
    </row>
    <row r="26" spans="1:18">
      <c r="A26" s="2">
        <v>2042</v>
      </c>
      <c r="B26" s="2">
        <v>31331</v>
      </c>
      <c r="D26" s="3">
        <v>13270</v>
      </c>
    </row>
    <row r="27" spans="1:18">
      <c r="A27" s="2">
        <v>2043</v>
      </c>
      <c r="B27" s="2">
        <v>31300</v>
      </c>
      <c r="D27" s="3">
        <v>13390</v>
      </c>
    </row>
    <row r="28" spans="1:18">
      <c r="A28" s="2">
        <v>2044</v>
      </c>
      <c r="B28" s="2">
        <v>31233</v>
      </c>
      <c r="D28" s="3">
        <v>13510</v>
      </c>
      <c r="N28" s="1"/>
    </row>
    <row r="29" spans="1:18">
      <c r="A29" s="2">
        <v>2045</v>
      </c>
      <c r="B29" s="2">
        <v>31117</v>
      </c>
      <c r="D29" s="3">
        <v>13620</v>
      </c>
    </row>
    <row r="30" spans="1:18">
      <c r="A30" s="2">
        <v>2046</v>
      </c>
      <c r="B30" s="2">
        <v>30947</v>
      </c>
      <c r="D30" s="3">
        <v>13720</v>
      </c>
      <c r="H30" s="3">
        <f>SUM(H5:H24)</f>
        <v>179.615016589785</v>
      </c>
    </row>
    <row r="31" spans="1:18">
      <c r="A31" s="2">
        <v>2047</v>
      </c>
      <c r="B31" s="2">
        <v>30717</v>
      </c>
      <c r="D31" s="3">
        <v>13800</v>
      </c>
    </row>
    <row r="32" spans="1:18">
      <c r="A32" s="2">
        <v>2048</v>
      </c>
      <c r="B32" s="2">
        <v>30435</v>
      </c>
      <c r="D32" s="3">
        <v>13880</v>
      </c>
    </row>
    <row r="33" spans="1:4">
      <c r="A33" s="2">
        <v>2049</v>
      </c>
      <c r="B33" s="2">
        <v>30101</v>
      </c>
      <c r="D33" s="3">
        <v>13950</v>
      </c>
    </row>
    <row r="34" spans="1:4">
      <c r="A34" s="2">
        <v>2050</v>
      </c>
      <c r="B34" s="2">
        <v>29716</v>
      </c>
      <c r="D34" s="3">
        <v>14020</v>
      </c>
    </row>
    <row r="36" spans="1:4">
      <c r="C36" s="19"/>
    </row>
    <row r="40" spans="1:4">
      <c r="B40" s="3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69"/>
  <sheetViews>
    <sheetView zoomScale="85" zoomScaleNormal="85" topLeftCell="AZ1" workbookViewId="0">
      <selection activeCell="BD46" sqref="BD46:BF50"/>
    </sheetView>
  </sheetViews>
  <sheetFormatPr defaultColWidth="9" defaultRowHeight="14"/>
  <cols>
    <col min="1" max="1" width="9" style="2"/>
    <col min="2" max="2" width="23.1416666666667" style="2" customWidth="1"/>
    <col min="3" max="3" width="18.8583333333333" style="2" customWidth="1"/>
    <col min="4" max="4" width="17" style="2" customWidth="1"/>
    <col min="5" max="5" width="18.5" style="2" customWidth="1"/>
    <col min="6" max="6" width="16.8583333333333" style="2" customWidth="1"/>
    <col min="7" max="7" width="16" style="2" customWidth="1"/>
    <col min="8" max="10" width="18.8583333333333" style="2" customWidth="1"/>
    <col min="11" max="11" width="19.3583333333333" style="2" customWidth="1"/>
    <col min="12" max="12" width="18.7083333333333" style="2" customWidth="1"/>
    <col min="13" max="18" width="18" style="2" customWidth="1"/>
    <col min="19" max="20" width="20.7083333333333" style="2" customWidth="1"/>
    <col min="21" max="25" width="18" style="2" customWidth="1"/>
    <col min="26" max="31" width="20.7083333333333" style="2" customWidth="1"/>
    <col min="32" max="33" width="18" style="2" customWidth="1"/>
    <col min="34" max="34" width="21" style="2" customWidth="1"/>
    <col min="35" max="35" width="22.6416666666667" style="2" customWidth="1"/>
    <col min="36" max="41" width="20.7083333333333" style="2" customWidth="1"/>
    <col min="42" max="45" width="18" style="2" customWidth="1"/>
    <col min="46" max="46" width="19" style="3" customWidth="1"/>
    <col min="47" max="49" width="19.3583333333333" style="3" customWidth="1"/>
    <col min="50" max="50" width="21.3583333333333" style="3" customWidth="1"/>
    <col min="51" max="54" width="17.1416666666667" style="3" customWidth="1"/>
    <col min="55" max="55" width="13.1416666666667" style="3" customWidth="1"/>
    <col min="56" max="56" width="15.8583333333333" style="3" customWidth="1"/>
    <col min="57" max="57" width="11.5" style="3" customWidth="1"/>
    <col min="58" max="58" width="13.8583333333333" style="3" customWidth="1"/>
    <col min="59" max="16384" width="9" style="3"/>
  </cols>
  <sheetData>
    <row r="1" s="5" customFormat="1" spans="1:70">
      <c r="A1" s="20" t="s">
        <v>0</v>
      </c>
      <c r="B1" s="20" t="s">
        <v>1</v>
      </c>
      <c r="C1" s="21" t="s">
        <v>8</v>
      </c>
      <c r="D1" s="20" t="s">
        <v>9</v>
      </c>
      <c r="E1" s="20" t="s">
        <v>10</v>
      </c>
      <c r="F1" s="20" t="s">
        <v>11</v>
      </c>
      <c r="G1" s="20" t="s">
        <v>2</v>
      </c>
      <c r="H1" s="21" t="s">
        <v>12</v>
      </c>
      <c r="I1" s="20" t="s">
        <v>13</v>
      </c>
      <c r="J1" s="20" t="s">
        <v>14</v>
      </c>
      <c r="K1" s="20" t="s">
        <v>15</v>
      </c>
      <c r="L1" s="5" t="s">
        <v>16</v>
      </c>
      <c r="M1" s="5" t="s">
        <v>17</v>
      </c>
      <c r="N1" s="20" t="s">
        <v>18</v>
      </c>
      <c r="O1" s="20" t="s">
        <v>19</v>
      </c>
      <c r="P1" s="21" t="s">
        <v>20</v>
      </c>
      <c r="Q1" s="21" t="s">
        <v>21</v>
      </c>
      <c r="R1" s="21" t="s">
        <v>22</v>
      </c>
      <c r="S1" s="21" t="s">
        <v>23</v>
      </c>
      <c r="T1" s="21" t="s">
        <v>24</v>
      </c>
      <c r="U1" s="21" t="s">
        <v>25</v>
      </c>
      <c r="V1" s="21" t="s">
        <v>26</v>
      </c>
      <c r="W1" s="21" t="s">
        <v>27</v>
      </c>
      <c r="X1" s="20" t="s">
        <v>28</v>
      </c>
      <c r="Y1" s="5" t="s">
        <v>29</v>
      </c>
      <c r="Z1" s="21" t="s">
        <v>30</v>
      </c>
      <c r="AA1" s="21" t="s">
        <v>31</v>
      </c>
      <c r="AB1" s="21" t="s">
        <v>32</v>
      </c>
      <c r="AC1" s="21" t="s">
        <v>33</v>
      </c>
      <c r="AD1" s="21" t="s">
        <v>34</v>
      </c>
      <c r="AE1" s="21" t="s">
        <v>35</v>
      </c>
      <c r="AF1" s="21" t="s">
        <v>36</v>
      </c>
      <c r="AG1" s="21" t="s">
        <v>37</v>
      </c>
      <c r="AH1" s="5" t="s">
        <v>38</v>
      </c>
      <c r="AI1" s="5" t="s">
        <v>39</v>
      </c>
      <c r="AJ1" s="21" t="s">
        <v>40</v>
      </c>
      <c r="AK1" s="21" t="s">
        <v>41</v>
      </c>
      <c r="AL1" s="21" t="s">
        <v>42</v>
      </c>
      <c r="AM1" s="21" t="s">
        <v>43</v>
      </c>
      <c r="AN1" s="21" t="s">
        <v>44</v>
      </c>
      <c r="AO1" s="21" t="s">
        <v>45</v>
      </c>
      <c r="AP1" s="21" t="s">
        <v>46</v>
      </c>
      <c r="AQ1" s="21" t="s">
        <v>47</v>
      </c>
      <c r="AR1" s="21" t="s">
        <v>48</v>
      </c>
      <c r="AS1" s="21" t="s">
        <v>49</v>
      </c>
      <c r="AT1" s="20" t="s">
        <v>50</v>
      </c>
      <c r="AU1" s="20" t="s">
        <v>3</v>
      </c>
      <c r="AV1" s="21" t="s">
        <v>51</v>
      </c>
      <c r="AW1" s="2" t="s">
        <v>52</v>
      </c>
      <c r="AX1" s="2" t="s">
        <v>53</v>
      </c>
      <c r="AY1" s="2" t="s">
        <v>4</v>
      </c>
      <c r="AZ1" s="2" t="s">
        <v>54</v>
      </c>
      <c r="BA1" s="2" t="s">
        <v>55</v>
      </c>
      <c r="BB1" s="2" t="s">
        <v>5</v>
      </c>
      <c r="BC1" s="5" t="s">
        <v>56</v>
      </c>
      <c r="BD1" s="5" t="s">
        <v>57</v>
      </c>
      <c r="BE1" s="5" t="s">
        <v>6</v>
      </c>
      <c r="BF1" s="5" t="s">
        <v>7</v>
      </c>
      <c r="BM1" s="22"/>
      <c r="BR1" s="22"/>
    </row>
    <row r="2" spans="1:70">
      <c r="A2" s="2">
        <v>2018</v>
      </c>
      <c r="B2" s="2">
        <v>25411</v>
      </c>
      <c r="C2" s="4"/>
      <c r="G2" s="2">
        <v>202332</v>
      </c>
      <c r="H2" s="4"/>
      <c r="P2" s="4"/>
      <c r="Q2" s="4"/>
      <c r="R2" s="4"/>
      <c r="S2" s="4"/>
      <c r="T2" s="4"/>
      <c r="U2" s="4"/>
      <c r="V2" s="4"/>
      <c r="W2" s="4"/>
      <c r="Z2" s="4"/>
      <c r="AA2" s="4"/>
      <c r="AB2" s="4"/>
      <c r="AC2" s="4"/>
      <c r="AD2" s="4"/>
      <c r="AE2" s="4"/>
      <c r="AF2" s="4"/>
      <c r="AG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3">
        <f>AU2*(1+AV2)</f>
        <v>12663.144</v>
      </c>
      <c r="AU2" s="3">
        <v>10790</v>
      </c>
      <c r="AV2" s="23">
        <v>0.1736</v>
      </c>
      <c r="AW2" s="2"/>
    </row>
    <row r="3" spans="1:70">
      <c r="A3" s="2">
        <v>2019</v>
      </c>
      <c r="B3" s="2">
        <v>23562</v>
      </c>
      <c r="C3" s="7">
        <f>1-F3</f>
        <v>0.0419803617850996</v>
      </c>
      <c r="D3" s="8">
        <v>0.032599898876045</v>
      </c>
      <c r="E3" s="8">
        <v>0.00938046290905463</v>
      </c>
      <c r="F3" s="9">
        <v>0.9580196382149</v>
      </c>
      <c r="G3" s="2">
        <v>222992</v>
      </c>
      <c r="H3" s="4">
        <f>I3+J3</f>
        <v>3761.60572462367</v>
      </c>
      <c r="I3" s="2">
        <v>2938.92945136004</v>
      </c>
      <c r="J3" s="2">
        <v>822.676273263626</v>
      </c>
      <c r="K3" s="2">
        <v>219230.550413899</v>
      </c>
      <c r="L3" s="17">
        <v>989.141284380516</v>
      </c>
      <c r="M3" s="17"/>
      <c r="N3" s="2">
        <v>768.118817317372</v>
      </c>
      <c r="P3" s="4"/>
      <c r="Q3" s="4"/>
      <c r="R3" s="4"/>
      <c r="S3" s="4"/>
      <c r="T3" s="4"/>
      <c r="U3" s="4"/>
      <c r="V3" s="4"/>
      <c r="W3" s="4"/>
      <c r="X3" s="2">
        <v>221.022467063145</v>
      </c>
      <c r="Z3" s="4"/>
      <c r="AA3" s="4"/>
      <c r="AB3" s="4"/>
      <c r="AC3" s="4"/>
      <c r="AD3" s="4"/>
      <c r="AE3" s="4"/>
      <c r="AF3" s="4"/>
      <c r="AG3" s="4"/>
      <c r="AH3" s="2">
        <v>22572.8587156195</v>
      </c>
      <c r="AJ3" s="4"/>
      <c r="AK3" s="4"/>
      <c r="AL3" s="4"/>
      <c r="AM3" s="4"/>
      <c r="AN3" s="4"/>
      <c r="AO3" s="4"/>
      <c r="AP3" s="4"/>
      <c r="AQ3" s="4"/>
      <c r="AR3" s="4"/>
      <c r="AS3" s="4"/>
      <c r="AT3" s="3">
        <f t="shared" ref="AT3:AT34" si="0">AU3*(1+AV3)</f>
        <v>12428.424</v>
      </c>
      <c r="AU3" s="3">
        <v>10590</v>
      </c>
      <c r="AV3" s="23">
        <v>0.1736</v>
      </c>
      <c r="AW3" s="2"/>
    </row>
    <row r="4" spans="1:70">
      <c r="A4" s="2">
        <v>2020</v>
      </c>
      <c r="B4" s="2">
        <v>24584</v>
      </c>
      <c r="C4" s="7">
        <f t="shared" ref="C4:C24" si="1">1-F4</f>
        <v>0.048418717521153</v>
      </c>
      <c r="D4" s="8">
        <v>0.032875363716192</v>
      </c>
      <c r="E4" s="8">
        <v>0.015543353804961</v>
      </c>
      <c r="F4" s="9">
        <v>0.951581282478847</v>
      </c>
      <c r="G4" s="2">
        <v>240900</v>
      </c>
      <c r="H4" s="4">
        <f t="shared" ref="H4:H24" si="2">I4+J4</f>
        <v>4933.52636113495</v>
      </c>
      <c r="I4" s="2">
        <v>3737.50948282408</v>
      </c>
      <c r="J4" s="2">
        <v>1196.01687831087</v>
      </c>
      <c r="K4" s="2">
        <v>235966.222289356</v>
      </c>
      <c r="L4" s="17">
        <v>1190.32575154003</v>
      </c>
      <c r="M4" s="17">
        <v>18.4051150287432</v>
      </c>
      <c r="N4" s="2">
        <v>808.207941598863</v>
      </c>
      <c r="O4" s="2">
        <v>9.62791013482638</v>
      </c>
      <c r="P4" s="4">
        <f>N4-O4</f>
        <v>798.580031464037</v>
      </c>
      <c r="Q4" s="4">
        <f>(AS4-AK4)*(D4/(D4+E4))</f>
        <v>640.344313733459</v>
      </c>
      <c r="R4" s="4">
        <f>P4+Q4</f>
        <v>1438.9243451975</v>
      </c>
      <c r="S4" s="4">
        <f>I3+R4+O4</f>
        <v>4387.48170669237</v>
      </c>
      <c r="T4" s="4">
        <f>O4/(I4+O4)</f>
        <v>0.00256940408774917</v>
      </c>
      <c r="U4" s="24">
        <f>0.65%*AV4/1%</f>
        <v>0.11284</v>
      </c>
      <c r="V4" s="4">
        <f>S4*T4*(1+U4)</f>
        <v>12.5452828357783</v>
      </c>
      <c r="W4" s="4">
        <f>S4-V4</f>
        <v>4374.93642385659</v>
      </c>
      <c r="X4" s="2">
        <v>382.117809941162</v>
      </c>
      <c r="Y4" s="2">
        <v>8.77720489391663</v>
      </c>
      <c r="Z4" s="4">
        <f>X4-Y4</f>
        <v>373.340605047245</v>
      </c>
      <c r="AA4" s="4">
        <f>(AS4-AK4)*(E4/(E4+D4))</f>
        <v>302.7524900189</v>
      </c>
      <c r="AB4" s="4">
        <f>Z4+AA4</f>
        <v>676.093095066145</v>
      </c>
      <c r="AC4" s="4">
        <f>J3+AB4+Y4</f>
        <v>1507.54657322369</v>
      </c>
      <c r="AD4" s="4">
        <f>Y4/(J4+Y4)</f>
        <v>0.00728523240300866</v>
      </c>
      <c r="AE4" s="24">
        <f>0.65%*AV4/1%</f>
        <v>0.11284</v>
      </c>
      <c r="AF4" s="4">
        <f>AC4*AD4*(1+AE4)</f>
        <v>12.222129359256</v>
      </c>
      <c r="AG4" s="4">
        <f>AC4-AF4</f>
        <v>1495.32444386443</v>
      </c>
      <c r="AH4" s="2">
        <v>23393.67424846</v>
      </c>
      <c r="AI4" s="2">
        <v>6658.00237300285</v>
      </c>
      <c r="AJ4" s="24">
        <v>0.1314</v>
      </c>
      <c r="AK4" s="4">
        <f>AH4*AJ4</f>
        <v>3073.92879624764</v>
      </c>
      <c r="AL4" s="4">
        <f>AH4*(1+AJ4)</f>
        <v>26467.6030447076</v>
      </c>
      <c r="AM4" s="4">
        <f>K3+AL4</f>
        <v>245698.153458607</v>
      </c>
      <c r="AN4" s="4">
        <f>AI4/(AI4+K4)</f>
        <v>0.0274416224606931</v>
      </c>
      <c r="AO4" s="4">
        <v>0</v>
      </c>
      <c r="AP4" s="4">
        <f t="shared" ref="AP4:AP24" si="3">AM4*AN4*(1+AO4)</f>
        <v>6742.35596650052</v>
      </c>
      <c r="AQ4" s="4">
        <f t="shared" ref="AQ4:AQ24" si="4">AM4-AP4</f>
        <v>238955.797492106</v>
      </c>
      <c r="AR4" s="15">
        <v>0.1634</v>
      </c>
      <c r="AS4" s="4">
        <f>B4*(AR4)</f>
        <v>4017.0256</v>
      </c>
      <c r="AT4" s="3">
        <f t="shared" si="0"/>
        <v>12393.216</v>
      </c>
      <c r="AU4" s="3">
        <v>10560</v>
      </c>
      <c r="AV4" s="23">
        <v>0.1736</v>
      </c>
      <c r="AW4" s="2"/>
      <c r="BC4" s="11"/>
      <c r="BD4" s="11"/>
      <c r="BE4" s="11"/>
      <c r="BF4" s="11"/>
    </row>
    <row r="5" spans="1:70">
      <c r="A5" s="2">
        <v>2021</v>
      </c>
      <c r="B5" s="2">
        <v>25535</v>
      </c>
      <c r="C5" s="7">
        <f t="shared" si="1"/>
        <v>0.0853030714432165</v>
      </c>
      <c r="D5" s="8">
        <v>0.0625742701882644</v>
      </c>
      <c r="E5" s="8">
        <v>0.0227288012549521</v>
      </c>
      <c r="F5" s="9">
        <v>0.914696928556784</v>
      </c>
      <c r="G5" s="2">
        <v>258441</v>
      </c>
      <c r="H5" s="4">
        <f t="shared" si="2"/>
        <v>7077.55008760057</v>
      </c>
      <c r="I5" s="2">
        <v>5305.87445977142</v>
      </c>
      <c r="J5" s="2">
        <v>1771.67562782915</v>
      </c>
      <c r="K5" s="2">
        <v>251363.517513367</v>
      </c>
      <c r="L5" s="17">
        <v>2178.21392930253</v>
      </c>
      <c r="M5" s="17">
        <v>34.1902028369113</v>
      </c>
      <c r="N5" s="2">
        <v>1597.83398925733</v>
      </c>
      <c r="O5" s="2">
        <v>29.4690123099899</v>
      </c>
      <c r="P5" s="4">
        <f t="shared" ref="P5:P24" si="5">N5-O5</f>
        <v>1568.36497694734</v>
      </c>
      <c r="Q5" s="4">
        <f t="shared" ref="Q5:Q24" si="6">(AS5-AK5)*(D5/(D5+E5))</f>
        <v>809.355698406605</v>
      </c>
      <c r="R5" s="4">
        <f t="shared" ref="R5:R24" si="7">P5+Q5</f>
        <v>2377.72067535395</v>
      </c>
      <c r="S5" s="4">
        <f t="shared" ref="S5:S24" si="8">I4+R5+O5</f>
        <v>6144.69917048802</v>
      </c>
      <c r="T5" s="4">
        <f t="shared" ref="T5:T24" si="9">O5/(I5+O5)</f>
        <v>0.00552335804886682</v>
      </c>
      <c r="U5" s="24">
        <f t="shared" ref="U5:U24" si="10">0.65%*AV5/1%</f>
        <v>0.11284</v>
      </c>
      <c r="V5" s="4">
        <f t="shared" ref="V5:V24" si="11">S5*T5*(1+U5)</f>
        <v>37.7690925405943</v>
      </c>
      <c r="W5" s="4">
        <f t="shared" ref="W5:W24" si="12">S5-V5</f>
        <v>6106.93007794743</v>
      </c>
      <c r="X5" s="2">
        <v>580.379940045201</v>
      </c>
      <c r="Y5" s="2">
        <v>4.72119052692278</v>
      </c>
      <c r="Z5" s="4">
        <f t="shared" ref="Z5:Z24" si="13">X5-Y5</f>
        <v>575.658749518278</v>
      </c>
      <c r="AA5" s="4">
        <f t="shared" ref="AA5:AA24" si="14">(AS5-AK5)*(E5/(E5+D5))</f>
        <v>293.981611903748</v>
      </c>
      <c r="AB5" s="4">
        <f t="shared" ref="AB5:AB24" si="15">Z5+AA5</f>
        <v>869.640361422026</v>
      </c>
      <c r="AC5" s="4">
        <f t="shared" ref="AC5:AC24" si="16">J4+AB5+Y5</f>
        <v>2070.37843025982</v>
      </c>
      <c r="AD5" s="4">
        <f t="shared" ref="AD5:AD24" si="17">Y5/(J5+Y5)</f>
        <v>0.00265773417185689</v>
      </c>
      <c r="AE5" s="24">
        <f t="shared" ref="AE5:AE24" si="18">0.65%*AV5/1%</f>
        <v>0.11284</v>
      </c>
      <c r="AF5" s="4">
        <f t="shared" ref="AF5:AF24" si="19">AC5*AD5*(1+AE5)</f>
        <v>6.1234193521103</v>
      </c>
      <c r="AG5" s="4">
        <f t="shared" ref="AG5:AG24" si="20">AC5-AF5</f>
        <v>2064.25501090771</v>
      </c>
      <c r="AH5" s="2">
        <v>23356.7860706975</v>
      </c>
      <c r="AI5" s="2">
        <v>7959.49084668668</v>
      </c>
      <c r="AJ5" s="24">
        <v>0.1314</v>
      </c>
      <c r="AK5" s="4">
        <f t="shared" ref="AK5:AK24" si="21">AH5*AJ5</f>
        <v>3069.08168968965</v>
      </c>
      <c r="AL5" s="4">
        <f>AH5*(1+AJ5)</f>
        <v>26425.8677603871</v>
      </c>
      <c r="AM5" s="4">
        <f t="shared" ref="AM5:AM24" si="22">K4+AL5</f>
        <v>262392.090049744</v>
      </c>
      <c r="AN5" s="4">
        <f t="shared" ref="AN5:AN24" si="23">AI5/(AI5+K5)</f>
        <v>0.0306933460976799</v>
      </c>
      <c r="AO5" s="4">
        <v>0</v>
      </c>
      <c r="AP5" s="4">
        <f t="shared" si="3"/>
        <v>8053.69123319037</v>
      </c>
      <c r="AQ5" s="4">
        <f t="shared" si="4"/>
        <v>254338.398816553</v>
      </c>
      <c r="AR5" s="15">
        <v>0.1634</v>
      </c>
      <c r="AS5" s="4">
        <f t="shared" ref="AS5:AS24" si="24">B5*(AR5)</f>
        <v>4172.419</v>
      </c>
      <c r="AT5" s="3">
        <f t="shared" si="0"/>
        <v>12369.744</v>
      </c>
      <c r="AU5" s="3">
        <v>10540</v>
      </c>
      <c r="AV5" s="23">
        <v>0.1736</v>
      </c>
      <c r="AW5" s="1">
        <v>69.96</v>
      </c>
      <c r="AX5" s="1">
        <v>87.12</v>
      </c>
      <c r="AY5" s="1">
        <v>60.36</v>
      </c>
      <c r="AZ5" s="1">
        <v>81.15</v>
      </c>
      <c r="BA5" s="1">
        <v>127.98</v>
      </c>
      <c r="BB5" s="3">
        <v>205.33</v>
      </c>
      <c r="BC5" s="15">
        <f t="shared" ref="BC5:BC24" si="25">AW5*15*AT5*(N5+Q5)+W5*AZ5*AT5</f>
        <v>37377435684.6699</v>
      </c>
      <c r="BD5" s="15">
        <f t="shared" ref="BD5:BD24" si="26">AT5*15*AX5*AB5+AG5*AT5*BA5</f>
        <v>17325426876.9287</v>
      </c>
      <c r="BE5" s="15">
        <f t="shared" ref="BE5:BE24" si="27">AU5*15*AY5*AL5+AQ5*AU5*BB5</f>
        <v>802613454406.172</v>
      </c>
      <c r="BF5" s="15">
        <f t="shared" ref="BF5:BF24" si="28">(BE5+BD5+BC5)/100000000000</f>
        <v>8.57316316967771</v>
      </c>
    </row>
    <row r="6" spans="1:70">
      <c r="A6" s="2">
        <v>2022</v>
      </c>
      <c r="B6" s="2">
        <v>26419</v>
      </c>
      <c r="C6" s="7">
        <f t="shared" si="1"/>
        <v>0.0948372473238583</v>
      </c>
      <c r="D6" s="8">
        <v>0.0714844983147803</v>
      </c>
      <c r="E6" s="8">
        <v>0.0233527490090781</v>
      </c>
      <c r="F6" s="9">
        <v>0.905162752676142</v>
      </c>
      <c r="G6" s="2">
        <v>275271</v>
      </c>
      <c r="H6" s="4">
        <f t="shared" si="2"/>
        <v>9519.25801058289</v>
      </c>
      <c r="I6" s="2">
        <v>7133.62247037181</v>
      </c>
      <c r="J6" s="2">
        <v>2385.63554021108</v>
      </c>
      <c r="K6" s="2">
        <v>265751.540156694</v>
      </c>
      <c r="L6" s="17">
        <v>2505.50523704901</v>
      </c>
      <c r="M6" s="17">
        <v>63.7973140666927</v>
      </c>
      <c r="N6" s="2">
        <v>1888.54896097818</v>
      </c>
      <c r="O6" s="2">
        <v>60.8009503777894</v>
      </c>
      <c r="P6" s="4">
        <f t="shared" si="5"/>
        <v>1827.74801060039</v>
      </c>
      <c r="Q6" s="4">
        <f t="shared" si="6"/>
        <v>885.389842662029</v>
      </c>
      <c r="R6" s="4">
        <f t="shared" si="7"/>
        <v>2713.13785326242</v>
      </c>
      <c r="S6" s="4">
        <f t="shared" si="8"/>
        <v>8079.81326341163</v>
      </c>
      <c r="T6" s="4">
        <f t="shared" si="9"/>
        <v>0.00845112204578229</v>
      </c>
      <c r="U6" s="24">
        <f t="shared" si="10"/>
        <v>0.11284</v>
      </c>
      <c r="V6" s="4">
        <f t="shared" si="11"/>
        <v>75.9885967817159</v>
      </c>
      <c r="W6" s="4">
        <f t="shared" si="12"/>
        <v>8003.82466662991</v>
      </c>
      <c r="X6" s="2">
        <v>616.956276070835</v>
      </c>
      <c r="Y6" s="2">
        <v>2.99636368890333</v>
      </c>
      <c r="Z6" s="4">
        <f t="shared" si="13"/>
        <v>613.959912381932</v>
      </c>
      <c r="AA6" s="4">
        <f t="shared" si="14"/>
        <v>289.241545486212</v>
      </c>
      <c r="AB6" s="4">
        <f t="shared" si="15"/>
        <v>903.201457868144</v>
      </c>
      <c r="AC6" s="4">
        <f t="shared" si="16"/>
        <v>2677.8734493862</v>
      </c>
      <c r="AD6" s="4">
        <f t="shared" si="17"/>
        <v>0.00125442672184487</v>
      </c>
      <c r="AE6" s="24">
        <f t="shared" si="18"/>
        <v>0.11284</v>
      </c>
      <c r="AF6" s="4">
        <f t="shared" si="19"/>
        <v>3.73824769069399</v>
      </c>
      <c r="AG6" s="4">
        <f t="shared" si="20"/>
        <v>2674.13520169551</v>
      </c>
      <c r="AH6" s="2">
        <v>23913.494762951</v>
      </c>
      <c r="AI6" s="2">
        <v>9525.47211962473</v>
      </c>
      <c r="AJ6" s="24">
        <v>0.1314</v>
      </c>
      <c r="AK6" s="4">
        <f t="shared" si="21"/>
        <v>3142.23321185176</v>
      </c>
      <c r="AL6" s="4">
        <f t="shared" ref="AL6:AL24" si="29">AH6*(1+AJ6)</f>
        <v>27055.7279748027</v>
      </c>
      <c r="AM6" s="4">
        <f t="shared" si="22"/>
        <v>278419.24548817</v>
      </c>
      <c r="AN6" s="4">
        <f t="shared" si="23"/>
        <v>0.0346032240064536</v>
      </c>
      <c r="AO6" s="4">
        <v>0</v>
      </c>
      <c r="AP6" s="4">
        <f t="shared" si="3"/>
        <v>9634.20351933495</v>
      </c>
      <c r="AQ6" s="4">
        <f t="shared" si="4"/>
        <v>268785.041968835</v>
      </c>
      <c r="AR6" s="15">
        <v>0.1634</v>
      </c>
      <c r="AS6" s="4">
        <f t="shared" si="24"/>
        <v>4316.8646</v>
      </c>
      <c r="AT6" s="3">
        <f t="shared" si="0"/>
        <v>12358.008</v>
      </c>
      <c r="AU6" s="3">
        <v>10530</v>
      </c>
      <c r="AV6" s="23">
        <v>0.1736</v>
      </c>
      <c r="AW6" s="2">
        <v>63.50439</v>
      </c>
      <c r="AX6" s="3">
        <v>68.62355</v>
      </c>
      <c r="AY6" s="3">
        <v>46.44221</v>
      </c>
      <c r="AZ6" s="3">
        <v>75.00653</v>
      </c>
      <c r="BA6" s="3">
        <v>119.99232</v>
      </c>
      <c r="BB6" s="3">
        <v>193.29066</v>
      </c>
      <c r="BC6" s="15">
        <f t="shared" si="25"/>
        <v>40073293872.4789</v>
      </c>
      <c r="BD6" s="15">
        <f t="shared" si="26"/>
        <v>15454789396.9499</v>
      </c>
      <c r="BE6" s="15">
        <f t="shared" si="27"/>
        <v>745540375886.542</v>
      </c>
      <c r="BF6" s="11">
        <f t="shared" si="28"/>
        <v>8.01068459155971</v>
      </c>
    </row>
    <row r="7" spans="1:70">
      <c r="A7" s="2">
        <v>2023</v>
      </c>
      <c r="B7" s="2">
        <v>27241</v>
      </c>
      <c r="C7" s="7">
        <f t="shared" si="1"/>
        <v>0.113208921785586</v>
      </c>
      <c r="D7" s="8">
        <v>0.085150312799082</v>
      </c>
      <c r="E7" s="8">
        <v>0.0280586089865036</v>
      </c>
      <c r="F7" s="9">
        <v>0.886791078214414</v>
      </c>
      <c r="G7" s="2">
        <v>291214</v>
      </c>
      <c r="H7" s="4">
        <f t="shared" si="2"/>
        <v>12461.0783897459</v>
      </c>
      <c r="I7" s="2">
        <v>9313.60419080649</v>
      </c>
      <c r="J7" s="2">
        <v>3147.47419893943</v>
      </c>
      <c r="K7" s="2">
        <v>278752.829191179</v>
      </c>
      <c r="L7" s="17">
        <v>3083.92423836114</v>
      </c>
      <c r="M7" s="17">
        <v>142.103859198116</v>
      </c>
      <c r="N7" s="2">
        <v>2319.57967095979</v>
      </c>
      <c r="O7" s="2">
        <v>139.597950525118</v>
      </c>
      <c r="P7" s="4">
        <f t="shared" si="5"/>
        <v>2179.98172043468</v>
      </c>
      <c r="Q7" s="4">
        <f t="shared" si="6"/>
        <v>960.452661111615</v>
      </c>
      <c r="R7" s="4">
        <f t="shared" si="7"/>
        <v>3140.43438154629</v>
      </c>
      <c r="S7" s="4">
        <f t="shared" si="8"/>
        <v>10413.6548024432</v>
      </c>
      <c r="T7" s="4">
        <f t="shared" si="9"/>
        <v>0.0147672659949546</v>
      </c>
      <c r="U7" s="24">
        <f t="shared" si="10"/>
        <v>0.11284</v>
      </c>
      <c r="V7" s="4">
        <f t="shared" si="11"/>
        <v>171.13388223419</v>
      </c>
      <c r="W7" s="4">
        <f t="shared" si="12"/>
        <v>10242.520920209</v>
      </c>
      <c r="X7" s="2">
        <v>764.344567401344</v>
      </c>
      <c r="Y7" s="2">
        <v>2.50590867299798</v>
      </c>
      <c r="Z7" s="4">
        <f t="shared" si="13"/>
        <v>761.838658728346</v>
      </c>
      <c r="AA7" s="4">
        <f t="shared" si="14"/>
        <v>316.486983809039</v>
      </c>
      <c r="AB7" s="4">
        <f t="shared" si="15"/>
        <v>1078.32564253738</v>
      </c>
      <c r="AC7" s="4">
        <f t="shared" si="16"/>
        <v>3466.46709142146</v>
      </c>
      <c r="AD7" s="4">
        <f t="shared" si="17"/>
        <v>0.000795531586673214</v>
      </c>
      <c r="AE7" s="24">
        <f t="shared" si="18"/>
        <v>0.11284</v>
      </c>
      <c r="AF7" s="4">
        <f t="shared" si="19"/>
        <v>3.06886113532749</v>
      </c>
      <c r="AG7" s="4">
        <f t="shared" si="20"/>
        <v>3463.39823028613</v>
      </c>
      <c r="AH7" s="2">
        <v>24157.0757616389</v>
      </c>
      <c r="AI7" s="2">
        <v>11155.7867271539</v>
      </c>
      <c r="AJ7" s="24">
        <v>0.1314</v>
      </c>
      <c r="AK7" s="4">
        <f t="shared" si="21"/>
        <v>3174.23975507935</v>
      </c>
      <c r="AL7" s="4">
        <f t="shared" si="29"/>
        <v>27331.3155167182</v>
      </c>
      <c r="AM7" s="4">
        <f t="shared" si="22"/>
        <v>293082.855673412</v>
      </c>
      <c r="AN7" s="4">
        <f t="shared" si="23"/>
        <v>0.0384803559280779</v>
      </c>
      <c r="AO7" s="4">
        <v>0</v>
      </c>
      <c r="AP7" s="4">
        <f t="shared" si="3"/>
        <v>11277.9326027304</v>
      </c>
      <c r="AQ7" s="4">
        <f t="shared" si="4"/>
        <v>281804.923070681</v>
      </c>
      <c r="AR7" s="15">
        <v>0.1634</v>
      </c>
      <c r="AS7" s="4">
        <f t="shared" si="24"/>
        <v>4451.1794</v>
      </c>
      <c r="AT7" s="3">
        <f t="shared" si="0"/>
        <v>12381.48</v>
      </c>
      <c r="AU7" s="3">
        <v>10550</v>
      </c>
      <c r="AV7" s="23">
        <v>0.1736</v>
      </c>
      <c r="AW7" s="2">
        <v>58.60798</v>
      </c>
      <c r="AX7" s="3">
        <v>64.11265</v>
      </c>
      <c r="AY7" s="3">
        <v>43.40028</v>
      </c>
      <c r="AZ7" s="3">
        <v>68.55456</v>
      </c>
      <c r="BA7" s="3">
        <v>111.48886</v>
      </c>
      <c r="BB7" s="3">
        <v>184.10518</v>
      </c>
      <c r="BC7" s="15">
        <f t="shared" si="25"/>
        <v>44396428282.2206</v>
      </c>
      <c r="BD7" s="15">
        <f t="shared" si="26"/>
        <v>17620641825.2322</v>
      </c>
      <c r="BE7" s="15">
        <f t="shared" si="27"/>
        <v>735066473801.073</v>
      </c>
      <c r="BF7" s="11">
        <f t="shared" si="28"/>
        <v>7.97083543908526</v>
      </c>
    </row>
    <row r="8" spans="1:70">
      <c r="A8" s="2">
        <v>2024</v>
      </c>
      <c r="B8" s="2">
        <v>27993</v>
      </c>
      <c r="C8" s="7">
        <f t="shared" si="1"/>
        <v>0.151921549573801</v>
      </c>
      <c r="D8" s="8">
        <v>0.117148866299154</v>
      </c>
      <c r="E8" s="8">
        <v>0.0347726832746464</v>
      </c>
      <c r="F8" s="9">
        <v>0.848078450426199</v>
      </c>
      <c r="G8" s="2">
        <v>306166</v>
      </c>
      <c r="H8" s="4">
        <f t="shared" si="2"/>
        <v>16506.4772076612</v>
      </c>
      <c r="I8" s="2">
        <v>12386.0870320505</v>
      </c>
      <c r="J8" s="2">
        <v>4120.39017561064</v>
      </c>
      <c r="K8" s="2">
        <v>289658.978149812</v>
      </c>
      <c r="L8" s="17">
        <v>4252.7399372194</v>
      </c>
      <c r="M8" s="17">
        <v>207.341119304139</v>
      </c>
      <c r="N8" s="2">
        <v>3279.34821431223</v>
      </c>
      <c r="O8" s="2">
        <v>206.865373068174</v>
      </c>
      <c r="P8" s="4">
        <f t="shared" si="5"/>
        <v>3072.48284124405</v>
      </c>
      <c r="Q8" s="4">
        <f t="shared" si="6"/>
        <v>1121.65196157901</v>
      </c>
      <c r="R8" s="4">
        <f t="shared" si="7"/>
        <v>4194.13480282306</v>
      </c>
      <c r="S8" s="4">
        <f t="shared" si="8"/>
        <v>13714.6043666977</v>
      </c>
      <c r="T8" s="4">
        <f t="shared" si="9"/>
        <v>0.0164270749553607</v>
      </c>
      <c r="U8" s="24">
        <f t="shared" si="10"/>
        <v>0.11284</v>
      </c>
      <c r="V8" s="4">
        <f t="shared" si="11"/>
        <v>250.712651613813</v>
      </c>
      <c r="W8" s="4">
        <f t="shared" si="12"/>
        <v>13463.8917150839</v>
      </c>
      <c r="X8" s="2">
        <v>973.391722907178</v>
      </c>
      <c r="Y8" s="2">
        <v>0.475746235962106</v>
      </c>
      <c r="Z8" s="4">
        <f t="shared" si="13"/>
        <v>972.915976671216</v>
      </c>
      <c r="AA8" s="4">
        <f t="shared" si="14"/>
        <v>332.934066171619</v>
      </c>
      <c r="AB8" s="4">
        <f t="shared" si="15"/>
        <v>1305.85004284284</v>
      </c>
      <c r="AC8" s="4">
        <f t="shared" si="16"/>
        <v>4453.79998801822</v>
      </c>
      <c r="AD8" s="4">
        <f t="shared" si="17"/>
        <v>0.000115448123036461</v>
      </c>
      <c r="AE8" s="24">
        <f t="shared" si="18"/>
        <v>0.11284</v>
      </c>
      <c r="AF8" s="4">
        <f t="shared" si="19"/>
        <v>0.572203241677283</v>
      </c>
      <c r="AG8" s="4">
        <f t="shared" si="20"/>
        <v>4453.22778477654</v>
      </c>
      <c r="AH8" s="2">
        <v>23740.2600627806</v>
      </c>
      <c r="AI8" s="2">
        <v>12834.1111041472</v>
      </c>
      <c r="AJ8" s="24">
        <v>0.1314</v>
      </c>
      <c r="AK8" s="4">
        <f t="shared" si="21"/>
        <v>3119.47017224937</v>
      </c>
      <c r="AL8" s="4">
        <f t="shared" si="29"/>
        <v>26859.73023503</v>
      </c>
      <c r="AM8" s="4">
        <f t="shared" si="22"/>
        <v>305612.559426208</v>
      </c>
      <c r="AN8" s="4">
        <f t="shared" si="23"/>
        <v>0.0424277828488581</v>
      </c>
      <c r="AO8" s="4">
        <v>0</v>
      </c>
      <c r="AP8" s="4">
        <f t="shared" si="3"/>
        <v>12966.4633072189</v>
      </c>
      <c r="AQ8" s="4">
        <f t="shared" si="4"/>
        <v>292646.09611899</v>
      </c>
      <c r="AR8" s="15">
        <v>0.1634</v>
      </c>
      <c r="AS8" s="4">
        <f t="shared" si="24"/>
        <v>4574.0562</v>
      </c>
      <c r="AT8" s="3">
        <f t="shared" si="0"/>
        <v>12428.424</v>
      </c>
      <c r="AU8" s="3">
        <v>10590</v>
      </c>
      <c r="AV8" s="23">
        <v>0.1736</v>
      </c>
      <c r="AW8" s="2">
        <v>54.93549</v>
      </c>
      <c r="AX8" s="3">
        <v>61.07847</v>
      </c>
      <c r="AY8" s="3">
        <v>41.44773</v>
      </c>
      <c r="AZ8" s="3">
        <v>61.09175</v>
      </c>
      <c r="BA8" s="3">
        <v>101.3207</v>
      </c>
      <c r="BB8" s="3">
        <v>177.15032</v>
      </c>
      <c r="BC8" s="15">
        <f t="shared" si="25"/>
        <v>55295291573.6329</v>
      </c>
      <c r="BD8" s="15">
        <f t="shared" si="26"/>
        <v>20476996767.2024</v>
      </c>
      <c r="BE8" s="15">
        <f t="shared" si="27"/>
        <v>725854191382.139</v>
      </c>
      <c r="BF8" s="11">
        <f t="shared" si="28"/>
        <v>8.01626479722974</v>
      </c>
    </row>
    <row r="9" spans="1:70">
      <c r="A9" s="2">
        <v>2025</v>
      </c>
      <c r="B9" s="2">
        <v>28671</v>
      </c>
      <c r="C9" s="7">
        <f t="shared" si="1"/>
        <v>0.209462516960962</v>
      </c>
      <c r="D9" s="8">
        <v>0.164993883786381</v>
      </c>
      <c r="E9" s="8">
        <v>0.0445686331745817</v>
      </c>
      <c r="F9" s="9">
        <v>0.790537483039038</v>
      </c>
      <c r="G9" s="2">
        <v>320049</v>
      </c>
      <c r="H9" s="4">
        <f t="shared" si="2"/>
        <v>22278.4307772384</v>
      </c>
      <c r="I9" s="2">
        <v>16880.7057955733</v>
      </c>
      <c r="J9" s="2">
        <v>5397.72498166505</v>
      </c>
      <c r="K9" s="2">
        <v>297770.377292236</v>
      </c>
      <c r="L9" s="17">
        <v>6008.36692378775</v>
      </c>
      <c r="M9" s="17">
        <v>236.413354210563</v>
      </c>
      <c r="N9" s="2">
        <v>4730.53964203932</v>
      </c>
      <c r="O9" s="2">
        <v>235.920878516539</v>
      </c>
      <c r="P9" s="4">
        <f t="shared" si="5"/>
        <v>4494.61876352278</v>
      </c>
      <c r="Q9" s="4">
        <f t="shared" si="6"/>
        <v>1343.64526569601</v>
      </c>
      <c r="R9" s="4">
        <f t="shared" si="7"/>
        <v>5838.26402921879</v>
      </c>
      <c r="S9" s="4">
        <f t="shared" si="8"/>
        <v>18460.2719397859</v>
      </c>
      <c r="T9" s="4">
        <f t="shared" si="9"/>
        <v>0.0137831409779862</v>
      </c>
      <c r="U9" s="24">
        <f t="shared" si="10"/>
        <v>0.11284</v>
      </c>
      <c r="V9" s="4">
        <f t="shared" si="11"/>
        <v>283.151600115227</v>
      </c>
      <c r="W9" s="4">
        <f t="shared" si="12"/>
        <v>18177.1203396707</v>
      </c>
      <c r="X9" s="2">
        <v>1277.82728174843</v>
      </c>
      <c r="Y9" s="2">
        <v>0.492475694025416</v>
      </c>
      <c r="Z9" s="4">
        <f t="shared" si="13"/>
        <v>1277.33480605441</v>
      </c>
      <c r="AA9" s="4">
        <f t="shared" si="14"/>
        <v>362.9494111497</v>
      </c>
      <c r="AB9" s="4">
        <f t="shared" si="15"/>
        <v>1640.28421720411</v>
      </c>
      <c r="AC9" s="4">
        <f t="shared" si="16"/>
        <v>5761.16686850878</v>
      </c>
      <c r="AD9" s="4">
        <f t="shared" si="17"/>
        <v>9.12293174396026e-5</v>
      </c>
      <c r="AE9" s="24">
        <f t="shared" si="18"/>
        <v>0.11284</v>
      </c>
      <c r="AF9" s="4">
        <f t="shared" si="19"/>
        <v>0.584894594379215</v>
      </c>
      <c r="AG9" s="4">
        <f t="shared" si="20"/>
        <v>5760.5819739144</v>
      </c>
      <c r="AH9" s="2">
        <v>22665.5001762122</v>
      </c>
      <c r="AI9" s="2">
        <v>14554.101033788</v>
      </c>
      <c r="AJ9" s="24">
        <v>0.1314</v>
      </c>
      <c r="AK9" s="4">
        <f t="shared" si="21"/>
        <v>2978.24672315429</v>
      </c>
      <c r="AL9" s="4">
        <f t="shared" si="29"/>
        <v>25643.7468993665</v>
      </c>
      <c r="AM9" s="4">
        <f t="shared" si="22"/>
        <v>315302.725049178</v>
      </c>
      <c r="AN9" s="4">
        <f t="shared" si="23"/>
        <v>0.0465992967051257</v>
      </c>
      <c r="AO9" s="4">
        <v>0</v>
      </c>
      <c r="AP9" s="4">
        <f t="shared" si="3"/>
        <v>14692.8852365013</v>
      </c>
      <c r="AQ9" s="4">
        <f t="shared" si="4"/>
        <v>300609.839812677</v>
      </c>
      <c r="AR9" s="15">
        <v>0.1634</v>
      </c>
      <c r="AS9" s="4">
        <f t="shared" si="24"/>
        <v>4684.8414</v>
      </c>
      <c r="AT9" s="3">
        <f t="shared" si="0"/>
        <v>12522.312</v>
      </c>
      <c r="AU9" s="3">
        <v>10670</v>
      </c>
      <c r="AV9" s="23">
        <v>0.1736</v>
      </c>
      <c r="AW9" s="2">
        <v>52.13797</v>
      </c>
      <c r="AX9" s="3">
        <v>58.70559</v>
      </c>
      <c r="AY9" s="3">
        <v>39.93118</v>
      </c>
      <c r="AZ9" s="3">
        <v>50.38404</v>
      </c>
      <c r="BA9" s="3">
        <v>82.53827</v>
      </c>
      <c r="BB9" s="3">
        <v>171.71053</v>
      </c>
      <c r="BC9" s="15">
        <f t="shared" si="25"/>
        <v>70954823552.8534</v>
      </c>
      <c r="BD9" s="15">
        <f t="shared" si="26"/>
        <v>24041289546.6432</v>
      </c>
      <c r="BE9" s="15">
        <f t="shared" si="27"/>
        <v>714651536352.943</v>
      </c>
      <c r="BF9" s="11">
        <f t="shared" si="28"/>
        <v>8.0964764945244</v>
      </c>
    </row>
    <row r="10" spans="1:70">
      <c r="A10" s="2">
        <v>2026</v>
      </c>
      <c r="B10" s="2">
        <v>29267</v>
      </c>
      <c r="C10" s="7">
        <f t="shared" si="1"/>
        <v>0.226704534021912</v>
      </c>
      <c r="D10" s="8">
        <v>0.175460775773863</v>
      </c>
      <c r="E10" s="8">
        <v>0.0512437582480487</v>
      </c>
      <c r="F10" s="9">
        <v>0.773295465978088</v>
      </c>
      <c r="G10" s="2">
        <v>332813</v>
      </c>
      <c r="H10" s="4">
        <f t="shared" si="2"/>
        <v>28616.7302102575</v>
      </c>
      <c r="I10" s="2">
        <v>21719.2794863226</v>
      </c>
      <c r="J10" s="2">
        <v>6897.45072393496</v>
      </c>
      <c r="K10" s="2">
        <v>304197.063458072</v>
      </c>
      <c r="L10" s="17">
        <v>6634.9615972193</v>
      </c>
      <c r="M10" s="17">
        <v>296.662164200159</v>
      </c>
      <c r="N10" s="2">
        <v>5135.21052457366</v>
      </c>
      <c r="O10" s="2">
        <v>296.636833824425</v>
      </c>
      <c r="P10" s="4">
        <f t="shared" si="5"/>
        <v>4838.57369074924</v>
      </c>
      <c r="Q10" s="4">
        <f t="shared" si="6"/>
        <v>1399.61646575857</v>
      </c>
      <c r="R10" s="4">
        <f t="shared" si="7"/>
        <v>6238.1901565078</v>
      </c>
      <c r="S10" s="4">
        <f t="shared" si="8"/>
        <v>23415.5327859055</v>
      </c>
      <c r="T10" s="4">
        <f t="shared" si="9"/>
        <v>0.0134737446087115</v>
      </c>
      <c r="U10" s="24">
        <f t="shared" si="10"/>
        <v>0.11284</v>
      </c>
      <c r="V10" s="4">
        <f t="shared" si="11"/>
        <v>351.095354124485</v>
      </c>
      <c r="W10" s="4">
        <f t="shared" si="12"/>
        <v>23064.437431781</v>
      </c>
      <c r="X10" s="2">
        <v>1499.75107264564</v>
      </c>
      <c r="Y10" s="2">
        <v>0.0253303757344838</v>
      </c>
      <c r="Z10" s="4">
        <f t="shared" si="13"/>
        <v>1499.72574226991</v>
      </c>
      <c r="AA10" s="4">
        <f t="shared" si="14"/>
        <v>408.761488116047</v>
      </c>
      <c r="AB10" s="4">
        <f t="shared" si="15"/>
        <v>1908.48723038595</v>
      </c>
      <c r="AC10" s="4">
        <f t="shared" si="16"/>
        <v>7306.23754242674</v>
      </c>
      <c r="AD10" s="4">
        <f t="shared" si="17"/>
        <v>3.67241227588651e-6</v>
      </c>
      <c r="AE10" s="24">
        <f t="shared" si="18"/>
        <v>0.11284</v>
      </c>
      <c r="AF10" s="4">
        <f t="shared" si="19"/>
        <v>0.0298591847565929</v>
      </c>
      <c r="AG10" s="4">
        <f t="shared" si="20"/>
        <v>7306.20768324198</v>
      </c>
      <c r="AH10" s="2">
        <v>22632.0384027807</v>
      </c>
      <c r="AI10" s="2">
        <v>16205.3522369444</v>
      </c>
      <c r="AJ10" s="24">
        <v>0.1314</v>
      </c>
      <c r="AK10" s="4">
        <f t="shared" si="21"/>
        <v>2973.84984612538</v>
      </c>
      <c r="AL10" s="4">
        <f t="shared" si="29"/>
        <v>25605.8882489061</v>
      </c>
      <c r="AM10" s="4">
        <f t="shared" si="22"/>
        <v>323376.265541142</v>
      </c>
      <c r="AN10" s="4">
        <f t="shared" si="23"/>
        <v>0.05057812127225</v>
      </c>
      <c r="AO10" s="4">
        <v>0</v>
      </c>
      <c r="AP10" s="4">
        <f t="shared" si="3"/>
        <v>16355.7639751072</v>
      </c>
      <c r="AQ10" s="4">
        <f t="shared" si="4"/>
        <v>307020.501566035</v>
      </c>
      <c r="AR10" s="15">
        <v>0.1634</v>
      </c>
      <c r="AS10" s="4">
        <f t="shared" si="24"/>
        <v>4782.2278</v>
      </c>
      <c r="AT10" s="3">
        <f t="shared" si="0"/>
        <v>12663.144</v>
      </c>
      <c r="AU10" s="3">
        <v>10790</v>
      </c>
      <c r="AV10" s="23">
        <v>0.1736</v>
      </c>
      <c r="AW10" s="2">
        <v>49.82293</v>
      </c>
      <c r="AX10" s="3">
        <v>56.74484</v>
      </c>
      <c r="AY10" s="3">
        <v>38.74838</v>
      </c>
      <c r="AZ10" s="3">
        <v>35.76314</v>
      </c>
      <c r="BA10" s="3">
        <v>59.2859</v>
      </c>
      <c r="BB10" s="3">
        <v>167.2601</v>
      </c>
      <c r="BC10" s="15">
        <f t="shared" si="25"/>
        <v>72289078626.1191</v>
      </c>
      <c r="BD10" s="15">
        <f t="shared" si="26"/>
        <v>26055775459.1315</v>
      </c>
      <c r="BE10" s="15">
        <f t="shared" si="27"/>
        <v>714676514447.08</v>
      </c>
      <c r="BF10" s="11">
        <f t="shared" si="28"/>
        <v>8.13021368532331</v>
      </c>
    </row>
    <row r="11" spans="1:70">
      <c r="A11" s="2">
        <v>2027</v>
      </c>
      <c r="B11" s="2">
        <v>29821</v>
      </c>
      <c r="C11" s="7">
        <f t="shared" si="1"/>
        <v>0.245642519234013</v>
      </c>
      <c r="D11" s="8">
        <v>0.186948865151382</v>
      </c>
      <c r="E11" s="8">
        <v>0.0586936540826313</v>
      </c>
      <c r="F11" s="9">
        <v>0.754357480765987</v>
      </c>
      <c r="G11" s="2">
        <v>344472</v>
      </c>
      <c r="H11" s="4">
        <f t="shared" si="2"/>
        <v>35569.8505367146</v>
      </c>
      <c r="I11" s="2">
        <v>26928.1597531463</v>
      </c>
      <c r="J11" s="2">
        <v>8641.69078356824</v>
      </c>
      <c r="K11" s="2">
        <v>308902.257462042</v>
      </c>
      <c r="L11" s="17">
        <v>7325.30556607752</v>
      </c>
      <c r="M11" s="17">
        <v>372.18523962047</v>
      </c>
      <c r="N11" s="2">
        <v>5575.00210767937</v>
      </c>
      <c r="O11" s="2">
        <v>366.121840855609</v>
      </c>
      <c r="P11" s="4">
        <f t="shared" si="5"/>
        <v>5208.88026682376</v>
      </c>
      <c r="Q11" s="4">
        <f t="shared" si="6"/>
        <v>1458.81418359945</v>
      </c>
      <c r="R11" s="4">
        <f t="shared" si="7"/>
        <v>6667.69445042321</v>
      </c>
      <c r="S11" s="4">
        <f t="shared" si="8"/>
        <v>28753.0957776014</v>
      </c>
      <c r="T11" s="4">
        <f t="shared" si="9"/>
        <v>0.0134138661827269</v>
      </c>
      <c r="U11" s="24">
        <f t="shared" si="10"/>
        <v>0.11284</v>
      </c>
      <c r="V11" s="4">
        <f t="shared" si="11"/>
        <v>429.211458909505</v>
      </c>
      <c r="W11" s="4">
        <f t="shared" si="12"/>
        <v>28323.8843186919</v>
      </c>
      <c r="X11" s="2">
        <v>1750.30345839815</v>
      </c>
      <c r="Y11" s="2">
        <v>6.06339876486527</v>
      </c>
      <c r="Z11" s="4">
        <f t="shared" si="13"/>
        <v>1744.24005963328</v>
      </c>
      <c r="AA11" s="4">
        <f t="shared" si="14"/>
        <v>458.002967783136</v>
      </c>
      <c r="AB11" s="4">
        <f t="shared" si="15"/>
        <v>2202.24302741642</v>
      </c>
      <c r="AC11" s="4">
        <f t="shared" si="16"/>
        <v>9105.75715011624</v>
      </c>
      <c r="AD11" s="4">
        <f t="shared" si="17"/>
        <v>0.000701152997301018</v>
      </c>
      <c r="AE11" s="24">
        <f t="shared" si="18"/>
        <v>0.11284</v>
      </c>
      <c r="AF11" s="4">
        <f t="shared" si="19"/>
        <v>7.10495916166263</v>
      </c>
      <c r="AG11" s="4">
        <f t="shared" si="20"/>
        <v>9098.65219095458</v>
      </c>
      <c r="AH11" s="2">
        <v>22495.6944339225</v>
      </c>
      <c r="AI11" s="2">
        <v>17790.5004299529</v>
      </c>
      <c r="AJ11" s="24">
        <v>0.1314</v>
      </c>
      <c r="AK11" s="4">
        <f t="shared" si="21"/>
        <v>2955.93424861741</v>
      </c>
      <c r="AL11" s="4">
        <f t="shared" si="29"/>
        <v>25451.6286825399</v>
      </c>
      <c r="AM11" s="4">
        <f t="shared" si="22"/>
        <v>329648.692140612</v>
      </c>
      <c r="AN11" s="4">
        <f t="shared" si="23"/>
        <v>0.0544563661121451</v>
      </c>
      <c r="AO11" s="4">
        <v>0</v>
      </c>
      <c r="AP11" s="4">
        <f t="shared" si="3"/>
        <v>17951.469867599</v>
      </c>
      <c r="AQ11" s="4">
        <f t="shared" si="4"/>
        <v>311697.222273013</v>
      </c>
      <c r="AR11" s="15">
        <v>0.1634</v>
      </c>
      <c r="AS11" s="4">
        <f t="shared" si="24"/>
        <v>4872.7514</v>
      </c>
      <c r="AT11" s="3">
        <f t="shared" si="0"/>
        <v>12839.184</v>
      </c>
      <c r="AU11" s="3">
        <v>10940</v>
      </c>
      <c r="AV11" s="23">
        <v>0.1736</v>
      </c>
      <c r="AW11" s="2">
        <v>47.81287</v>
      </c>
      <c r="AX11" s="3">
        <v>55.03459</v>
      </c>
      <c r="AY11" s="3">
        <v>37.75928</v>
      </c>
      <c r="AZ11" s="3">
        <v>30.01692</v>
      </c>
      <c r="BA11" s="3">
        <v>54.32707</v>
      </c>
      <c r="BB11" s="3">
        <v>163.64683</v>
      </c>
      <c r="BC11" s="15">
        <f t="shared" si="25"/>
        <v>75684420928.6055</v>
      </c>
      <c r="BD11" s="15">
        <f t="shared" si="26"/>
        <v>29687996963.5804</v>
      </c>
      <c r="BE11" s="15">
        <f t="shared" si="27"/>
        <v>715736262085.654</v>
      </c>
      <c r="BF11" s="11">
        <f t="shared" si="28"/>
        <v>8.2110867997784</v>
      </c>
    </row>
    <row r="12" spans="1:70">
      <c r="A12" s="2">
        <v>2028</v>
      </c>
      <c r="B12" s="2">
        <v>30337</v>
      </c>
      <c r="C12" s="7">
        <f t="shared" si="1"/>
        <v>0.266837869996607</v>
      </c>
      <c r="D12" s="8">
        <v>0.196592723750158</v>
      </c>
      <c r="E12" s="8">
        <v>0.0702451462464487</v>
      </c>
      <c r="F12" s="9">
        <v>0.733162130003393</v>
      </c>
      <c r="G12" s="2">
        <v>355083</v>
      </c>
      <c r="H12" s="4">
        <f t="shared" si="2"/>
        <v>43186.7966272484</v>
      </c>
      <c r="I12" s="2">
        <v>32429.9416267001</v>
      </c>
      <c r="J12" s="2">
        <v>10756.8550005483</v>
      </c>
      <c r="K12" s="2">
        <v>311896.164483548</v>
      </c>
      <c r="L12" s="17">
        <v>8095.06046208706</v>
      </c>
      <c r="M12" s="17">
        <v>478.114371553238</v>
      </c>
      <c r="N12" s="2">
        <v>5964.03346040854</v>
      </c>
      <c r="O12" s="2">
        <v>462.251586854793</v>
      </c>
      <c r="P12" s="4">
        <f t="shared" si="5"/>
        <v>5501.78187355375</v>
      </c>
      <c r="Q12" s="4">
        <f t="shared" si="6"/>
        <v>1498.89882867337</v>
      </c>
      <c r="R12" s="4">
        <f t="shared" si="7"/>
        <v>7000.68070222712</v>
      </c>
      <c r="S12" s="4">
        <f t="shared" si="8"/>
        <v>34391.0920422282</v>
      </c>
      <c r="T12" s="4">
        <f t="shared" si="9"/>
        <v>0.0140535349483567</v>
      </c>
      <c r="U12" s="24">
        <f t="shared" si="10"/>
        <v>0.11284</v>
      </c>
      <c r="V12" s="4">
        <f t="shared" si="11"/>
        <v>537.853838075197</v>
      </c>
      <c r="W12" s="4">
        <f t="shared" si="12"/>
        <v>33853.238204153</v>
      </c>
      <c r="X12" s="2">
        <v>2131.02700167852</v>
      </c>
      <c r="Y12" s="2">
        <v>15.8627846984309</v>
      </c>
      <c r="Z12" s="4">
        <f t="shared" si="13"/>
        <v>2115.16421698008</v>
      </c>
      <c r="AA12" s="4">
        <f t="shared" si="14"/>
        <v>535.576116044869</v>
      </c>
      <c r="AB12" s="4">
        <f t="shared" si="15"/>
        <v>2650.74033302495</v>
      </c>
      <c r="AC12" s="4">
        <f t="shared" si="16"/>
        <v>11308.2939012916</v>
      </c>
      <c r="AD12" s="4">
        <f t="shared" si="17"/>
        <v>0.00147249607895187</v>
      </c>
      <c r="AE12" s="24">
        <f t="shared" si="18"/>
        <v>0.11284</v>
      </c>
      <c r="AF12" s="4">
        <f t="shared" si="19"/>
        <v>18.530364484848</v>
      </c>
      <c r="AG12" s="4">
        <f t="shared" si="20"/>
        <v>11289.7635368068</v>
      </c>
      <c r="AH12" s="2">
        <v>22241.9395379129</v>
      </c>
      <c r="AI12" s="2">
        <v>19248.0325164067</v>
      </c>
      <c r="AJ12" s="24">
        <v>0.1314</v>
      </c>
      <c r="AK12" s="4">
        <f t="shared" si="21"/>
        <v>2922.59085528176</v>
      </c>
      <c r="AL12" s="4">
        <f t="shared" si="29"/>
        <v>25164.5303931947</v>
      </c>
      <c r="AM12" s="4">
        <f t="shared" si="22"/>
        <v>334066.787855237</v>
      </c>
      <c r="AN12" s="4">
        <f t="shared" si="23"/>
        <v>0.0581258336724208</v>
      </c>
      <c r="AO12" s="4">
        <v>0</v>
      </c>
      <c r="AP12" s="4">
        <f t="shared" si="3"/>
        <v>19417.9105463534</v>
      </c>
      <c r="AQ12" s="4">
        <f t="shared" si="4"/>
        <v>314648.877308883</v>
      </c>
      <c r="AR12" s="15">
        <v>0.1634</v>
      </c>
      <c r="AS12" s="4">
        <f t="shared" si="24"/>
        <v>4957.0658</v>
      </c>
      <c r="AT12" s="3">
        <f t="shared" si="0"/>
        <v>13026.96</v>
      </c>
      <c r="AU12" s="3">
        <v>11100</v>
      </c>
      <c r="AV12" s="23">
        <v>0.1736</v>
      </c>
      <c r="AW12" s="2">
        <v>46.10778</v>
      </c>
      <c r="AX12" s="3">
        <v>53.49383</v>
      </c>
      <c r="AY12" s="3">
        <v>36.8505</v>
      </c>
      <c r="AZ12" s="3">
        <v>26.59559</v>
      </c>
      <c r="BA12" s="3">
        <v>51.05343</v>
      </c>
      <c r="BB12" s="3">
        <v>160.69706</v>
      </c>
      <c r="BC12" s="15">
        <f t="shared" si="25"/>
        <v>78967287875.7394</v>
      </c>
      <c r="BD12" s="15">
        <f t="shared" si="26"/>
        <v>35216496717.0906</v>
      </c>
      <c r="BE12" s="15">
        <f t="shared" si="27"/>
        <v>715650659913.665</v>
      </c>
      <c r="BF12" s="11">
        <f t="shared" si="28"/>
        <v>8.29834444506495</v>
      </c>
    </row>
    <row r="13" spans="1:70">
      <c r="A13" s="2">
        <v>2029</v>
      </c>
      <c r="B13" s="2">
        <v>30767</v>
      </c>
      <c r="C13" s="7">
        <f t="shared" si="1"/>
        <v>0.290225747149396</v>
      </c>
      <c r="D13" s="8">
        <v>0.207531450925898</v>
      </c>
      <c r="E13" s="8">
        <v>0.0826942962234978</v>
      </c>
      <c r="F13" s="9">
        <v>0.709774252850604</v>
      </c>
      <c r="G13" s="2">
        <v>364714</v>
      </c>
      <c r="H13" s="4">
        <f t="shared" si="2"/>
        <v>51490.7117876278</v>
      </c>
      <c r="I13" s="2">
        <v>38222.9426280635</v>
      </c>
      <c r="J13" s="2">
        <v>13267.7691595642</v>
      </c>
      <c r="K13" s="2">
        <v>313224.082259062</v>
      </c>
      <c r="L13" s="17">
        <v>8929.37556254546</v>
      </c>
      <c r="M13" s="17">
        <v>625.460402166056</v>
      </c>
      <c r="N13" s="2">
        <v>6385.1201506371</v>
      </c>
      <c r="O13" s="2">
        <v>592.119149273611</v>
      </c>
      <c r="P13" s="4">
        <f t="shared" si="5"/>
        <v>5793.00100136349</v>
      </c>
      <c r="Q13" s="4">
        <f t="shared" si="6"/>
        <v>1543.02173607367</v>
      </c>
      <c r="R13" s="4">
        <f t="shared" si="7"/>
        <v>7336.02273743716</v>
      </c>
      <c r="S13" s="4">
        <f t="shared" si="8"/>
        <v>40358.0835134108</v>
      </c>
      <c r="T13" s="4">
        <f t="shared" si="9"/>
        <v>0.0152548810219679</v>
      </c>
      <c r="U13" s="24">
        <f t="shared" si="10"/>
        <v>0.11284</v>
      </c>
      <c r="V13" s="4">
        <f t="shared" si="11"/>
        <v>685.128584166467</v>
      </c>
      <c r="W13" s="4">
        <f t="shared" si="12"/>
        <v>39672.9549292443</v>
      </c>
      <c r="X13" s="2">
        <v>2544.25541190836</v>
      </c>
      <c r="Y13" s="2">
        <v>33.3412528924491</v>
      </c>
      <c r="Z13" s="4">
        <f t="shared" si="13"/>
        <v>2510.91415901591</v>
      </c>
      <c r="AA13" s="4">
        <f t="shared" si="14"/>
        <v>614.842212844804</v>
      </c>
      <c r="AB13" s="4">
        <f t="shared" si="15"/>
        <v>3125.75637186071</v>
      </c>
      <c r="AC13" s="4">
        <f t="shared" si="16"/>
        <v>13915.9526253015</v>
      </c>
      <c r="AD13" s="4">
        <f t="shared" si="17"/>
        <v>0.00250665184022716</v>
      </c>
      <c r="AE13" s="24">
        <f t="shared" si="18"/>
        <v>0.11284</v>
      </c>
      <c r="AF13" s="4">
        <f t="shared" si="19"/>
        <v>38.8185837180149</v>
      </c>
      <c r="AG13" s="4">
        <f t="shared" si="20"/>
        <v>13877.1340415835</v>
      </c>
      <c r="AH13" s="2">
        <v>21837.6244374545</v>
      </c>
      <c r="AI13" s="2">
        <v>20509.7066619407</v>
      </c>
      <c r="AJ13" s="24">
        <v>0.1314</v>
      </c>
      <c r="AK13" s="4">
        <f t="shared" si="21"/>
        <v>2869.46385108153</v>
      </c>
      <c r="AL13" s="4">
        <f t="shared" si="29"/>
        <v>24707.0882885361</v>
      </c>
      <c r="AM13" s="4">
        <f t="shared" si="22"/>
        <v>336603.252772084</v>
      </c>
      <c r="AN13" s="4">
        <f t="shared" si="23"/>
        <v>0.0614552896434333</v>
      </c>
      <c r="AO13" s="4">
        <v>0</v>
      </c>
      <c r="AP13" s="4">
        <f t="shared" si="3"/>
        <v>20686.0503940302</v>
      </c>
      <c r="AQ13" s="4">
        <f t="shared" si="4"/>
        <v>315917.202378054</v>
      </c>
      <c r="AR13" s="15">
        <v>0.1634</v>
      </c>
      <c r="AS13" s="4">
        <f t="shared" si="24"/>
        <v>5027.3278</v>
      </c>
      <c r="AT13" s="3">
        <f t="shared" si="0"/>
        <v>13226.472</v>
      </c>
      <c r="AU13" s="3">
        <v>11270</v>
      </c>
      <c r="AV13" s="23">
        <v>0.1736</v>
      </c>
      <c r="AW13" s="2">
        <v>44.64271</v>
      </c>
      <c r="AX13" s="3">
        <v>52.04855</v>
      </c>
      <c r="AY13" s="3">
        <v>35.9672</v>
      </c>
      <c r="AZ13" s="3">
        <v>24.08977</v>
      </c>
      <c r="BA13" s="3">
        <v>48.66672</v>
      </c>
      <c r="BB13" s="3">
        <v>158.22849</v>
      </c>
      <c r="BC13" s="15">
        <f t="shared" si="25"/>
        <v>82860123110.9277</v>
      </c>
      <c r="BD13" s="15">
        <f t="shared" si="26"/>
        <v>41209995229.5571</v>
      </c>
      <c r="BE13" s="15">
        <f t="shared" si="27"/>
        <v>713580039437.562</v>
      </c>
      <c r="BF13" s="11">
        <f t="shared" si="28"/>
        <v>8.37650157778047</v>
      </c>
    </row>
    <row r="14" spans="1:70">
      <c r="A14" s="2">
        <v>2030</v>
      </c>
      <c r="B14" s="2">
        <v>31057</v>
      </c>
      <c r="C14" s="7">
        <f t="shared" si="1"/>
        <v>0.319517234323311</v>
      </c>
      <c r="D14" s="8">
        <v>0.225845567788596</v>
      </c>
      <c r="E14" s="8">
        <v>0.0936716665347149</v>
      </c>
      <c r="F14" s="9">
        <v>0.680482765676689</v>
      </c>
      <c r="G14" s="2">
        <v>373443</v>
      </c>
      <c r="H14" s="4">
        <f t="shared" si="2"/>
        <v>60592.0177566786</v>
      </c>
      <c r="I14" s="2">
        <v>44478.7183957898</v>
      </c>
      <c r="J14" s="2">
        <v>16113.2993608888</v>
      </c>
      <c r="K14" s="2">
        <v>312850.810593583</v>
      </c>
      <c r="L14" s="17">
        <v>9923.24674637907</v>
      </c>
      <c r="M14" s="17">
        <v>821.940777328295</v>
      </c>
      <c r="N14" s="2">
        <v>7014.08579881043</v>
      </c>
      <c r="O14" s="2">
        <v>758.310031084213</v>
      </c>
      <c r="P14" s="4">
        <f t="shared" si="5"/>
        <v>6255.77576772622</v>
      </c>
      <c r="Q14" s="4">
        <f t="shared" si="6"/>
        <v>1624.11922762632</v>
      </c>
      <c r="R14" s="4">
        <f t="shared" si="7"/>
        <v>7879.89499535254</v>
      </c>
      <c r="S14" s="4">
        <f t="shared" si="8"/>
        <v>46861.1476545003</v>
      </c>
      <c r="T14" s="4">
        <f t="shared" si="9"/>
        <v>0.0167630381007459</v>
      </c>
      <c r="U14" s="24">
        <f t="shared" si="10"/>
        <v>0.11284</v>
      </c>
      <c r="V14" s="4">
        <f t="shared" si="11"/>
        <v>874.174995948704</v>
      </c>
      <c r="W14" s="4">
        <f t="shared" si="12"/>
        <v>45986.9726585516</v>
      </c>
      <c r="X14" s="2">
        <v>2909.16094756864</v>
      </c>
      <c r="Y14" s="2">
        <v>63.6307462440818</v>
      </c>
      <c r="Z14" s="4">
        <f t="shared" si="13"/>
        <v>2845.53020132456</v>
      </c>
      <c r="AA14" s="4">
        <f t="shared" si="14"/>
        <v>673.619394847887</v>
      </c>
      <c r="AB14" s="4">
        <f t="shared" si="15"/>
        <v>3519.14959617245</v>
      </c>
      <c r="AC14" s="4">
        <f t="shared" si="16"/>
        <v>16850.5495019808</v>
      </c>
      <c r="AD14" s="4">
        <f t="shared" si="17"/>
        <v>0.00393342530521444</v>
      </c>
      <c r="AE14" s="24">
        <f t="shared" si="18"/>
        <v>0.11284</v>
      </c>
      <c r="AF14" s="4">
        <f t="shared" si="19"/>
        <v>73.7594556508272</v>
      </c>
      <c r="AG14" s="4">
        <f t="shared" si="20"/>
        <v>16776.79004633</v>
      </c>
      <c r="AH14" s="2">
        <v>21133.7532536209</v>
      </c>
      <c r="AI14" s="2">
        <v>21507.0249190999</v>
      </c>
      <c r="AJ14" s="24">
        <v>0.1314</v>
      </c>
      <c r="AK14" s="4">
        <f t="shared" si="21"/>
        <v>2776.97517752579</v>
      </c>
      <c r="AL14" s="4">
        <f t="shared" si="29"/>
        <v>23910.7284311467</v>
      </c>
      <c r="AM14" s="4">
        <f t="shared" si="22"/>
        <v>337134.810690209</v>
      </c>
      <c r="AN14" s="4">
        <f t="shared" si="23"/>
        <v>0.0643233764392643</v>
      </c>
      <c r="AO14" s="4">
        <v>0</v>
      </c>
      <c r="AP14" s="4">
        <f t="shared" si="3"/>
        <v>21685.6493388064</v>
      </c>
      <c r="AQ14" s="4">
        <f t="shared" si="4"/>
        <v>315449.161351402</v>
      </c>
      <c r="AR14" s="15">
        <v>0.1634</v>
      </c>
      <c r="AS14" s="4">
        <f t="shared" si="24"/>
        <v>5074.7138</v>
      </c>
      <c r="AT14" s="3">
        <f t="shared" si="0"/>
        <v>13425.984</v>
      </c>
      <c r="AU14" s="3">
        <v>11440</v>
      </c>
      <c r="AV14" s="23">
        <v>0.1736</v>
      </c>
      <c r="AW14" s="2">
        <v>43.35601</v>
      </c>
      <c r="AX14" s="3">
        <v>50.69424</v>
      </c>
      <c r="AY14" s="3">
        <v>35.14148</v>
      </c>
      <c r="AZ14" s="3">
        <v>22.09576</v>
      </c>
      <c r="BA14" s="3">
        <v>46.57791</v>
      </c>
      <c r="BB14" s="3">
        <v>156.14353</v>
      </c>
      <c r="BC14" s="15">
        <f t="shared" si="25"/>
        <v>89066483055.4569</v>
      </c>
      <c r="BD14" s="15">
        <f t="shared" si="26"/>
        <v>46419494248.8875</v>
      </c>
      <c r="BE14" s="15">
        <f t="shared" si="27"/>
        <v>707669492394.734</v>
      </c>
      <c r="BF14" s="11">
        <f t="shared" si="28"/>
        <v>8.43155469699078</v>
      </c>
    </row>
    <row r="15" spans="1:70">
      <c r="A15" s="2">
        <v>2031</v>
      </c>
      <c r="B15" s="2">
        <v>31116</v>
      </c>
      <c r="C15" s="7">
        <f t="shared" si="1"/>
        <v>0.317245734230146</v>
      </c>
      <c r="D15" s="8">
        <v>0.230191643657115</v>
      </c>
      <c r="E15" s="8">
        <v>0.0870540905730316</v>
      </c>
      <c r="F15" s="9">
        <v>0.682754265769854</v>
      </c>
      <c r="G15" s="2">
        <v>381268</v>
      </c>
      <c r="H15" s="4">
        <f t="shared" si="2"/>
        <v>69389.8780899168</v>
      </c>
      <c r="I15" s="2">
        <v>50698.9260064622</v>
      </c>
      <c r="J15" s="2">
        <v>18690.9520834546</v>
      </c>
      <c r="K15" s="2">
        <v>311878.533692855</v>
      </c>
      <c r="L15" s="17">
        <v>9871.41826630524</v>
      </c>
      <c r="M15" s="17">
        <v>1073.55793306702</v>
      </c>
      <c r="N15" s="2">
        <v>7162.64318403479</v>
      </c>
      <c r="O15" s="2">
        <v>942.435573362338</v>
      </c>
      <c r="P15" s="4">
        <f t="shared" si="5"/>
        <v>6220.20761067245</v>
      </c>
      <c r="Q15" s="4">
        <f t="shared" si="6"/>
        <v>1663.65410030621</v>
      </c>
      <c r="R15" s="4">
        <f t="shared" si="7"/>
        <v>7883.86171097866</v>
      </c>
      <c r="S15" s="4">
        <f t="shared" si="8"/>
        <v>53305.0156801308</v>
      </c>
      <c r="T15" s="4">
        <f t="shared" si="9"/>
        <v>0.0182496267435856</v>
      </c>
      <c r="U15" s="24">
        <f t="shared" si="10"/>
        <v>0.11284</v>
      </c>
      <c r="V15" s="4">
        <f t="shared" si="11"/>
        <v>1082.56701254975</v>
      </c>
      <c r="W15" s="4">
        <f t="shared" si="12"/>
        <v>52222.448667581</v>
      </c>
      <c r="X15" s="2">
        <v>2708.77508227045</v>
      </c>
      <c r="Y15" s="2">
        <v>131.122359704681</v>
      </c>
      <c r="Z15" s="4">
        <f t="shared" si="13"/>
        <v>2577.65272256577</v>
      </c>
      <c r="AA15" s="4">
        <f t="shared" si="14"/>
        <v>629.162259886299</v>
      </c>
      <c r="AB15" s="4">
        <f t="shared" si="15"/>
        <v>3206.81498245207</v>
      </c>
      <c r="AC15" s="4">
        <f t="shared" si="16"/>
        <v>19451.2367030455</v>
      </c>
      <c r="AD15" s="4">
        <f t="shared" si="17"/>
        <v>0.00696641382971134</v>
      </c>
      <c r="AE15" s="24">
        <f t="shared" si="18"/>
        <v>0.11284</v>
      </c>
      <c r="AF15" s="4">
        <f t="shared" si="19"/>
        <v>150.795789688944</v>
      </c>
      <c r="AG15" s="4">
        <f t="shared" si="20"/>
        <v>19300.4409133566</v>
      </c>
      <c r="AH15" s="2">
        <v>21244.5817336948</v>
      </c>
      <c r="AI15" s="2">
        <v>22216.858634423</v>
      </c>
      <c r="AJ15" s="24">
        <v>0.1314</v>
      </c>
      <c r="AK15" s="4">
        <f t="shared" si="21"/>
        <v>2791.53803980749</v>
      </c>
      <c r="AL15" s="4">
        <f t="shared" si="29"/>
        <v>24036.1197735023</v>
      </c>
      <c r="AM15" s="4">
        <f t="shared" si="22"/>
        <v>336886.930367085</v>
      </c>
      <c r="AN15" s="4">
        <f t="shared" si="23"/>
        <v>0.0664985484524716</v>
      </c>
      <c r="AO15" s="4">
        <v>0</v>
      </c>
      <c r="AP15" s="4">
        <f t="shared" si="3"/>
        <v>22402.4918620201</v>
      </c>
      <c r="AQ15" s="4">
        <f t="shared" si="4"/>
        <v>314484.438505065</v>
      </c>
      <c r="AR15" s="15">
        <v>0.1634</v>
      </c>
      <c r="AS15" s="4">
        <f t="shared" si="24"/>
        <v>5084.3544</v>
      </c>
      <c r="AT15" s="3">
        <f t="shared" si="0"/>
        <v>13637.232</v>
      </c>
      <c r="AU15" s="3">
        <v>11620</v>
      </c>
      <c r="AV15" s="23">
        <v>0.1736</v>
      </c>
      <c r="AW15" s="2">
        <v>42.23781</v>
      </c>
      <c r="AX15" s="3">
        <v>49.36391</v>
      </c>
      <c r="AY15" s="3">
        <v>34.32447</v>
      </c>
      <c r="AZ15" s="3">
        <v>20.49506</v>
      </c>
      <c r="BA15" s="3">
        <v>44.96585</v>
      </c>
      <c r="BB15" s="3">
        <v>154.34747</v>
      </c>
      <c r="BC15" s="15">
        <f t="shared" si="25"/>
        <v>90856070359.0814</v>
      </c>
      <c r="BD15" s="15">
        <f t="shared" si="26"/>
        <v>44217014974.9927</v>
      </c>
      <c r="BE15" s="15">
        <f t="shared" si="27"/>
        <v>707835594489.12</v>
      </c>
      <c r="BF15" s="11">
        <f t="shared" si="28"/>
        <v>8.42908679823194</v>
      </c>
    </row>
    <row r="16" spans="1:70">
      <c r="A16" s="2">
        <v>2032</v>
      </c>
      <c r="B16" s="2">
        <v>31274</v>
      </c>
      <c r="C16" s="7">
        <f t="shared" si="1"/>
        <v>0.316312239196366</v>
      </c>
      <c r="D16" s="8">
        <v>0.239768601348979</v>
      </c>
      <c r="E16" s="8">
        <v>0.0765436378473863</v>
      </c>
      <c r="F16" s="9">
        <v>0.683687760803634</v>
      </c>
      <c r="G16" s="2">
        <v>388489</v>
      </c>
      <c r="H16" s="4">
        <f t="shared" si="2"/>
        <v>77903.8683247155</v>
      </c>
      <c r="I16" s="2">
        <v>57040.6383857745</v>
      </c>
      <c r="J16" s="2">
        <v>20863.229938941</v>
      </c>
      <c r="K16" s="2">
        <v>310585.41303932</v>
      </c>
      <c r="L16" s="17">
        <v>9892.34896862714</v>
      </c>
      <c r="M16" s="17">
        <v>1378.35873382838</v>
      </c>
      <c r="N16" s="2">
        <v>7498.52323858798</v>
      </c>
      <c r="O16" s="2">
        <v>1156.81085927568</v>
      </c>
      <c r="P16" s="4">
        <f t="shared" si="5"/>
        <v>6341.7123793123</v>
      </c>
      <c r="Q16" s="4">
        <f t="shared" si="6"/>
        <v>1743.9005126622</v>
      </c>
      <c r="R16" s="4">
        <f t="shared" si="7"/>
        <v>8085.6128919745</v>
      </c>
      <c r="S16" s="4">
        <f t="shared" si="8"/>
        <v>59941.3497577124</v>
      </c>
      <c r="T16" s="4">
        <f t="shared" si="9"/>
        <v>0.0198773464177911</v>
      </c>
      <c r="U16" s="24">
        <f t="shared" si="10"/>
        <v>0.11284</v>
      </c>
      <c r="V16" s="4">
        <f t="shared" si="11"/>
        <v>1325.9210099371</v>
      </c>
      <c r="W16" s="4">
        <f t="shared" si="12"/>
        <v>58615.4287477753</v>
      </c>
      <c r="X16" s="2">
        <v>2393.82573003916</v>
      </c>
      <c r="Y16" s="2">
        <v>221.547874552703</v>
      </c>
      <c r="Z16" s="4">
        <f t="shared" si="13"/>
        <v>2172.27785548645</v>
      </c>
      <c r="AA16" s="4">
        <f t="shared" si="14"/>
        <v>556.722141815402</v>
      </c>
      <c r="AB16" s="4">
        <f t="shared" si="15"/>
        <v>2728.99999730186</v>
      </c>
      <c r="AC16" s="4">
        <f t="shared" si="16"/>
        <v>21641.4999553091</v>
      </c>
      <c r="AD16" s="4">
        <f t="shared" si="17"/>
        <v>0.0105074796856962</v>
      </c>
      <c r="AE16" s="24">
        <f t="shared" si="18"/>
        <v>0.11284</v>
      </c>
      <c r="AF16" s="4">
        <f t="shared" si="19"/>
        <v>253.057168718792</v>
      </c>
      <c r="AG16" s="4">
        <f t="shared" si="20"/>
        <v>21388.4427865903</v>
      </c>
      <c r="AH16" s="2">
        <v>21381.6510313729</v>
      </c>
      <c r="AI16" s="2">
        <v>22674.7716849082</v>
      </c>
      <c r="AJ16" s="24">
        <v>0.1314</v>
      </c>
      <c r="AK16" s="4">
        <f t="shared" si="21"/>
        <v>2809.54894552239</v>
      </c>
      <c r="AL16" s="4">
        <f t="shared" si="29"/>
        <v>24191.1999768953</v>
      </c>
      <c r="AM16" s="4">
        <f t="shared" si="22"/>
        <v>336069.73366975</v>
      </c>
      <c r="AN16" s="4">
        <f t="shared" si="23"/>
        <v>0.0680392459833494</v>
      </c>
      <c r="AO16" s="4">
        <v>0</v>
      </c>
      <c r="AP16" s="4">
        <f t="shared" si="3"/>
        <v>22865.9312767149</v>
      </c>
      <c r="AQ16" s="4">
        <f t="shared" si="4"/>
        <v>313203.802393035</v>
      </c>
      <c r="AR16" s="15">
        <v>0.1634</v>
      </c>
      <c r="AS16" s="4">
        <f t="shared" si="24"/>
        <v>5110.1716</v>
      </c>
      <c r="AT16" s="3">
        <f t="shared" si="0"/>
        <v>13825.008</v>
      </c>
      <c r="AU16" s="3">
        <v>11780</v>
      </c>
      <c r="AV16" s="23">
        <v>0.1736</v>
      </c>
      <c r="AW16" s="2">
        <v>41.22378</v>
      </c>
      <c r="AX16" s="3">
        <v>48.1185</v>
      </c>
      <c r="AY16" s="3">
        <v>33.51516</v>
      </c>
      <c r="AZ16" s="3">
        <v>19.10469</v>
      </c>
      <c r="BA16" s="3">
        <v>43.50043</v>
      </c>
      <c r="BB16" s="3">
        <v>152.75024</v>
      </c>
      <c r="BC16" s="15">
        <f t="shared" si="25"/>
        <v>94493158884.2093</v>
      </c>
      <c r="BD16" s="15">
        <f t="shared" si="26"/>
        <v>40094420734.8778</v>
      </c>
      <c r="BE16" s="15">
        <f t="shared" si="27"/>
        <v>706841642909.183</v>
      </c>
      <c r="BF16" s="11">
        <f t="shared" si="28"/>
        <v>8.4142922252827</v>
      </c>
    </row>
    <row r="17" spans="1:58">
      <c r="A17" s="2">
        <v>2033</v>
      </c>
      <c r="B17" s="2">
        <v>31474</v>
      </c>
      <c r="C17" s="7">
        <f t="shared" si="1"/>
        <v>0.316550164311839</v>
      </c>
      <c r="D17" s="8">
        <v>0.242591323810351</v>
      </c>
      <c r="E17" s="8">
        <v>0.0739588405014883</v>
      </c>
      <c r="F17" s="9">
        <v>0.683449835688161</v>
      </c>
      <c r="G17" s="2">
        <v>395263</v>
      </c>
      <c r="H17" s="4">
        <f t="shared" si="2"/>
        <v>86123.8370774815</v>
      </c>
      <c r="I17" s="2">
        <v>63251.0217180025</v>
      </c>
      <c r="J17" s="2">
        <v>22872.815359479</v>
      </c>
      <c r="K17" s="2">
        <v>309139.712660884</v>
      </c>
      <c r="L17" s="17">
        <v>9963.09987155082</v>
      </c>
      <c r="M17" s="17">
        <v>1743.13111878482</v>
      </c>
      <c r="N17" s="2">
        <v>7635.31932560698</v>
      </c>
      <c r="O17" s="2">
        <v>1424.93599337899</v>
      </c>
      <c r="P17" s="4">
        <f t="shared" si="5"/>
        <v>6210.38333222799</v>
      </c>
      <c r="Q17" s="4">
        <f t="shared" si="6"/>
        <v>1775.13403660739</v>
      </c>
      <c r="R17" s="4">
        <f t="shared" si="7"/>
        <v>7985.51736883538</v>
      </c>
      <c r="S17" s="4">
        <f t="shared" si="8"/>
        <v>66451.0917479889</v>
      </c>
      <c r="T17" s="4">
        <f t="shared" si="9"/>
        <v>0.0220319272230619</v>
      </c>
      <c r="U17" s="24">
        <f t="shared" si="10"/>
        <v>0.11284</v>
      </c>
      <c r="V17" s="4">
        <f t="shared" si="11"/>
        <v>1629.24852473911</v>
      </c>
      <c r="W17" s="4">
        <f t="shared" si="12"/>
        <v>64821.8432232498</v>
      </c>
      <c r="X17" s="2">
        <v>2327.78054594384</v>
      </c>
      <c r="Y17" s="2">
        <v>318.195125405826</v>
      </c>
      <c r="Z17" s="4">
        <f t="shared" si="13"/>
        <v>2009.58542053802</v>
      </c>
      <c r="AA17" s="4">
        <f t="shared" si="14"/>
        <v>541.185286514387</v>
      </c>
      <c r="AB17" s="4">
        <f t="shared" si="15"/>
        <v>2550.7707070524</v>
      </c>
      <c r="AC17" s="4">
        <f t="shared" si="16"/>
        <v>23732.1957713992</v>
      </c>
      <c r="AD17" s="4">
        <f t="shared" si="17"/>
        <v>0.0137206235844365</v>
      </c>
      <c r="AE17" s="24">
        <f t="shared" si="18"/>
        <v>0.11284</v>
      </c>
      <c r="AF17" s="4">
        <f t="shared" si="19"/>
        <v>362.363545053824</v>
      </c>
      <c r="AG17" s="4">
        <f t="shared" si="20"/>
        <v>23369.8322263454</v>
      </c>
      <c r="AH17" s="2">
        <v>21510.9001284492</v>
      </c>
      <c r="AI17" s="2">
        <v>22956.6005068843</v>
      </c>
      <c r="AJ17" s="24">
        <v>0.1314</v>
      </c>
      <c r="AK17" s="4">
        <f t="shared" si="21"/>
        <v>2826.53227687822</v>
      </c>
      <c r="AL17" s="4">
        <f t="shared" si="29"/>
        <v>24337.4324053274</v>
      </c>
      <c r="AM17" s="4">
        <f t="shared" si="22"/>
        <v>334922.845444647</v>
      </c>
      <c r="AN17" s="4">
        <f t="shared" si="23"/>
        <v>0.0691263335262835</v>
      </c>
      <c r="AO17" s="4">
        <v>0</v>
      </c>
      <c r="AP17" s="4">
        <f t="shared" si="3"/>
        <v>23151.9883197786</v>
      </c>
      <c r="AQ17" s="4">
        <f t="shared" si="4"/>
        <v>311770.857124868</v>
      </c>
      <c r="AR17" s="15">
        <v>0.1634</v>
      </c>
      <c r="AS17" s="4">
        <f t="shared" si="24"/>
        <v>5142.8516</v>
      </c>
      <c r="AT17" s="3">
        <f t="shared" si="0"/>
        <v>14012.784</v>
      </c>
      <c r="AU17" s="3">
        <v>11940</v>
      </c>
      <c r="AV17" s="23">
        <v>0.1736</v>
      </c>
      <c r="AW17" s="2">
        <v>40.30177</v>
      </c>
      <c r="AX17" s="3">
        <v>46.8934</v>
      </c>
      <c r="AY17" s="3">
        <v>32.71389</v>
      </c>
      <c r="AZ17" s="3">
        <v>17.8373</v>
      </c>
      <c r="BA17" s="3">
        <v>42.1705</v>
      </c>
      <c r="BB17" s="3">
        <v>151.26901</v>
      </c>
      <c r="BC17" s="15">
        <f t="shared" si="25"/>
        <v>95919125925.1356</v>
      </c>
      <c r="BD17" s="15">
        <f t="shared" si="26"/>
        <v>38951786560.3126</v>
      </c>
      <c r="BE17" s="15">
        <f t="shared" si="27"/>
        <v>705699971423.641</v>
      </c>
      <c r="BF17" s="11">
        <f t="shared" si="28"/>
        <v>8.40570883909089</v>
      </c>
    </row>
    <row r="18" spans="1:58">
      <c r="A18" s="2">
        <v>2034</v>
      </c>
      <c r="B18" s="2">
        <v>31657</v>
      </c>
      <c r="C18" s="7">
        <f t="shared" si="1"/>
        <v>0.317654298463266</v>
      </c>
      <c r="D18" s="8">
        <v>0.250406521756049</v>
      </c>
      <c r="E18" s="8">
        <v>0.0672477767072169</v>
      </c>
      <c r="F18" s="9">
        <v>0.682345701536734</v>
      </c>
      <c r="G18" s="2">
        <v>401608</v>
      </c>
      <c r="H18" s="4">
        <f t="shared" si="2"/>
        <v>93985.8564678595</v>
      </c>
      <c r="I18" s="2">
        <v>69423.0106726824</v>
      </c>
      <c r="J18" s="2">
        <v>24562.8457951771</v>
      </c>
      <c r="K18" s="2">
        <v>307622.509156122</v>
      </c>
      <c r="L18" s="17">
        <v>10055.9821264516</v>
      </c>
      <c r="M18" s="17">
        <v>2193.96273607369</v>
      </c>
      <c r="N18" s="2">
        <v>7927.11925923125</v>
      </c>
      <c r="O18" s="2">
        <v>1755.13030455135</v>
      </c>
      <c r="P18" s="4">
        <f t="shared" si="5"/>
        <v>6171.9889546799</v>
      </c>
      <c r="Q18" s="4">
        <f t="shared" si="6"/>
        <v>1840.18913630196</v>
      </c>
      <c r="R18" s="4">
        <f t="shared" si="7"/>
        <v>8012.17809098187</v>
      </c>
      <c r="S18" s="4">
        <f t="shared" si="8"/>
        <v>73018.3301135357</v>
      </c>
      <c r="T18" s="4">
        <f t="shared" si="9"/>
        <v>0.0246582768312638</v>
      </c>
      <c r="U18" s="24">
        <f t="shared" si="10"/>
        <v>0.11284</v>
      </c>
      <c r="V18" s="4">
        <f t="shared" si="11"/>
        <v>2003.67531704421</v>
      </c>
      <c r="W18" s="4">
        <f t="shared" si="12"/>
        <v>71014.6547964915</v>
      </c>
      <c r="X18" s="2">
        <v>2128.86286722036</v>
      </c>
      <c r="Y18" s="2">
        <v>438.832431522347</v>
      </c>
      <c r="Z18" s="4">
        <f t="shared" si="13"/>
        <v>1690.03043569802</v>
      </c>
      <c r="AA18" s="4">
        <f t="shared" si="14"/>
        <v>494.19091511378</v>
      </c>
      <c r="AB18" s="4">
        <f t="shared" si="15"/>
        <v>2184.2213508118</v>
      </c>
      <c r="AC18" s="4">
        <f t="shared" si="16"/>
        <v>25495.8691418132</v>
      </c>
      <c r="AD18" s="4">
        <f t="shared" si="17"/>
        <v>0.0175521190035042</v>
      </c>
      <c r="AE18" s="24">
        <f t="shared" si="18"/>
        <v>0.11284</v>
      </c>
      <c r="AF18" s="4">
        <f t="shared" si="19"/>
        <v>498.003166038253</v>
      </c>
      <c r="AG18" s="4">
        <f t="shared" si="20"/>
        <v>24997.8659757749</v>
      </c>
      <c r="AH18" s="2">
        <v>21601.0178735484</v>
      </c>
      <c r="AI18" s="2">
        <v>23118.2213783107</v>
      </c>
      <c r="AJ18" s="24">
        <v>0.1314</v>
      </c>
      <c r="AK18" s="4">
        <f t="shared" si="21"/>
        <v>2838.37374858426</v>
      </c>
      <c r="AL18" s="4">
        <f t="shared" si="29"/>
        <v>24439.3916221326</v>
      </c>
      <c r="AM18" s="4">
        <f t="shared" si="22"/>
        <v>333579.104283017</v>
      </c>
      <c r="AN18" s="4">
        <f t="shared" si="23"/>
        <v>0.0698983198741647</v>
      </c>
      <c r="AO18" s="4">
        <v>0</v>
      </c>
      <c r="AP18" s="4">
        <f t="shared" si="3"/>
        <v>23316.6189345117</v>
      </c>
      <c r="AQ18" s="4">
        <f t="shared" si="4"/>
        <v>310262.485348505</v>
      </c>
      <c r="AR18" s="15">
        <v>0.1634</v>
      </c>
      <c r="AS18" s="4">
        <f t="shared" si="24"/>
        <v>5172.7538</v>
      </c>
      <c r="AT18" s="3">
        <f t="shared" si="0"/>
        <v>14200.56</v>
      </c>
      <c r="AU18" s="3">
        <v>12100</v>
      </c>
      <c r="AV18" s="23">
        <v>0.1736</v>
      </c>
      <c r="AW18" s="2">
        <v>39.42017</v>
      </c>
      <c r="AX18" s="3">
        <v>45.7477</v>
      </c>
      <c r="AY18" s="3">
        <v>31.9604</v>
      </c>
      <c r="AZ18" s="3">
        <v>16.68671</v>
      </c>
      <c r="BA18" s="3">
        <v>40.96639</v>
      </c>
      <c r="BB18" s="3">
        <v>149.8997</v>
      </c>
      <c r="BC18" s="15">
        <f t="shared" si="25"/>
        <v>98842079263.5862</v>
      </c>
      <c r="BD18" s="15">
        <f t="shared" si="26"/>
        <v>35826860832.4373</v>
      </c>
      <c r="BE18" s="15">
        <f t="shared" si="27"/>
        <v>704518197905.444</v>
      </c>
      <c r="BF18" s="11">
        <f t="shared" si="28"/>
        <v>8.39187138001467</v>
      </c>
    </row>
    <row r="19" spans="1:58">
      <c r="A19" s="2">
        <v>2035</v>
      </c>
      <c r="B19" s="2">
        <v>31591</v>
      </c>
      <c r="C19" s="7">
        <f t="shared" si="1"/>
        <v>0.318632223552804</v>
      </c>
      <c r="D19" s="8">
        <v>0.257533354958395</v>
      </c>
      <c r="E19" s="8">
        <v>0.0610988685944089</v>
      </c>
      <c r="F19" s="9">
        <v>0.681367776447196</v>
      </c>
      <c r="G19" s="2">
        <v>407260</v>
      </c>
      <c r="H19" s="4">
        <f t="shared" si="2"/>
        <v>101307.497986155</v>
      </c>
      <c r="I19" s="2">
        <v>75393.969747526</v>
      </c>
      <c r="J19" s="2">
        <v>25913.5282386288</v>
      </c>
      <c r="K19" s="2">
        <v>305953.427966065</v>
      </c>
      <c r="L19" s="17">
        <v>10065.9105742566</v>
      </c>
      <c r="M19" s="17">
        <v>2744.26905596128</v>
      </c>
      <c r="N19" s="2">
        <v>8135.73621649064</v>
      </c>
      <c r="O19" s="2">
        <v>2164.77714164702</v>
      </c>
      <c r="P19" s="4">
        <f t="shared" si="5"/>
        <v>5970.95907484362</v>
      </c>
      <c r="Q19" s="4">
        <f t="shared" si="6"/>
        <v>1886.1017468759</v>
      </c>
      <c r="R19" s="4">
        <f t="shared" si="7"/>
        <v>7857.06082171952</v>
      </c>
      <c r="S19" s="4">
        <f t="shared" si="8"/>
        <v>79444.8486360489</v>
      </c>
      <c r="T19" s="4">
        <f t="shared" si="9"/>
        <v>0.0279114507192897</v>
      </c>
      <c r="U19" s="24">
        <f t="shared" si="10"/>
        <v>0.11284</v>
      </c>
      <c r="V19" s="4">
        <f t="shared" si="11"/>
        <v>2467.63476071963</v>
      </c>
      <c r="W19" s="4">
        <f t="shared" si="12"/>
        <v>76977.2138753293</v>
      </c>
      <c r="X19" s="2">
        <v>1930.17435776597</v>
      </c>
      <c r="Y19" s="2">
        <v>579.491914314243</v>
      </c>
      <c r="Z19" s="4">
        <f t="shared" si="13"/>
        <v>1350.68244345173</v>
      </c>
      <c r="AA19" s="4">
        <f t="shared" si="14"/>
        <v>447.470902581425</v>
      </c>
      <c r="AB19" s="4">
        <f t="shared" si="15"/>
        <v>1798.15334603315</v>
      </c>
      <c r="AC19" s="4">
        <f t="shared" si="16"/>
        <v>26940.4910555244</v>
      </c>
      <c r="AD19" s="4">
        <f t="shared" si="17"/>
        <v>0.0218733806477654</v>
      </c>
      <c r="AE19" s="24">
        <f t="shared" si="18"/>
        <v>0.11284</v>
      </c>
      <c r="AF19" s="4">
        <f t="shared" si="19"/>
        <v>655.773927530251</v>
      </c>
      <c r="AG19" s="4">
        <f t="shared" si="20"/>
        <v>26284.7171279941</v>
      </c>
      <c r="AH19" s="2">
        <v>21525.0894257434</v>
      </c>
      <c r="AI19" s="2">
        <v>23194.1706158004</v>
      </c>
      <c r="AJ19" s="24">
        <v>0.1314</v>
      </c>
      <c r="AK19" s="4">
        <f t="shared" si="21"/>
        <v>2828.39675054268</v>
      </c>
      <c r="AL19" s="4">
        <f t="shared" si="29"/>
        <v>24353.4861762861</v>
      </c>
      <c r="AM19" s="4">
        <f t="shared" si="22"/>
        <v>331975.995332408</v>
      </c>
      <c r="AN19" s="4">
        <f t="shared" si="23"/>
        <v>0.0704673851965886</v>
      </c>
      <c r="AO19" s="4">
        <v>0</v>
      </c>
      <c r="AP19" s="4">
        <f t="shared" si="3"/>
        <v>23393.4803391097</v>
      </c>
      <c r="AQ19" s="4">
        <f t="shared" si="4"/>
        <v>308582.514993299</v>
      </c>
      <c r="AR19" s="15">
        <v>0.1634</v>
      </c>
      <c r="AS19" s="4">
        <f t="shared" si="24"/>
        <v>5161.9694</v>
      </c>
      <c r="AT19" s="3">
        <f t="shared" si="0"/>
        <v>14376.6</v>
      </c>
      <c r="AU19" s="3">
        <v>12250</v>
      </c>
      <c r="AV19" s="23">
        <v>0.1736</v>
      </c>
      <c r="AW19" s="2">
        <v>38.65368</v>
      </c>
      <c r="AX19" s="3">
        <v>44.61906</v>
      </c>
      <c r="AY19" s="3">
        <v>31.17569</v>
      </c>
      <c r="AZ19" s="3">
        <v>15.6466</v>
      </c>
      <c r="BA19" s="3">
        <v>39.87978</v>
      </c>
      <c r="BB19" s="3">
        <v>148.70716</v>
      </c>
      <c r="BC19" s="15">
        <f t="shared" si="25"/>
        <v>100853939923.202</v>
      </c>
      <c r="BD19" s="15">
        <f t="shared" si="26"/>
        <v>32371896850.7311</v>
      </c>
      <c r="BE19" s="15">
        <f t="shared" si="27"/>
        <v>701643010660.463</v>
      </c>
      <c r="BF19" s="11">
        <f t="shared" si="28"/>
        <v>8.34868847434396</v>
      </c>
    </row>
    <row r="20" spans="1:58">
      <c r="A20" s="2">
        <v>2036</v>
      </c>
      <c r="B20" s="2">
        <v>31484</v>
      </c>
      <c r="C20" s="7">
        <f t="shared" si="1"/>
        <v>0.317851862165086</v>
      </c>
      <c r="D20" s="8">
        <v>0.25945298034334</v>
      </c>
      <c r="E20" s="8">
        <v>0.0583988818217463</v>
      </c>
      <c r="F20" s="9">
        <v>0.682148137834914</v>
      </c>
      <c r="G20" s="2">
        <v>412157</v>
      </c>
      <c r="H20" s="4">
        <f t="shared" si="2"/>
        <v>107948.745657663</v>
      </c>
      <c r="I20" s="2">
        <v>80932.8211950315</v>
      </c>
      <c r="J20" s="2">
        <v>27015.9244626316</v>
      </c>
      <c r="K20" s="2">
        <v>304209.300002787</v>
      </c>
      <c r="L20" s="17">
        <v>10007.2480284056</v>
      </c>
      <c r="M20" s="17">
        <v>3366.00035689723</v>
      </c>
      <c r="N20" s="2">
        <v>8168.61763312971</v>
      </c>
      <c r="O20" s="2">
        <v>2629.7661856242</v>
      </c>
      <c r="P20" s="4">
        <f t="shared" si="5"/>
        <v>5538.8514475055</v>
      </c>
      <c r="Q20" s="4">
        <f t="shared" si="6"/>
        <v>1895.73871611998</v>
      </c>
      <c r="R20" s="4">
        <f t="shared" si="7"/>
        <v>7434.59016362548</v>
      </c>
      <c r="S20" s="4">
        <f t="shared" si="8"/>
        <v>85458.3260967757</v>
      </c>
      <c r="T20" s="4">
        <f t="shared" si="9"/>
        <v>0.0314706170315758</v>
      </c>
      <c r="U20" s="24">
        <f t="shared" si="10"/>
        <v>0.11284</v>
      </c>
      <c r="V20" s="4">
        <f t="shared" si="11"/>
        <v>2992.90111111159</v>
      </c>
      <c r="W20" s="4">
        <f t="shared" si="12"/>
        <v>82465.4249856641</v>
      </c>
      <c r="X20" s="2">
        <v>1838.63039527586</v>
      </c>
      <c r="Y20" s="2">
        <v>736.23417127303</v>
      </c>
      <c r="Z20" s="4">
        <f t="shared" si="13"/>
        <v>1102.39622400283</v>
      </c>
      <c r="AA20" s="4">
        <f t="shared" si="14"/>
        <v>426.701674812509</v>
      </c>
      <c r="AB20" s="4">
        <f t="shared" si="15"/>
        <v>1529.09789881534</v>
      </c>
      <c r="AC20" s="4">
        <f t="shared" si="16"/>
        <v>28178.8603087172</v>
      </c>
      <c r="AD20" s="4">
        <f t="shared" si="17"/>
        <v>0.026528897480918</v>
      </c>
      <c r="AE20" s="24">
        <f t="shared" si="18"/>
        <v>0.11284</v>
      </c>
      <c r="AF20" s="4">
        <f t="shared" si="19"/>
        <v>831.908100480941</v>
      </c>
      <c r="AG20" s="4">
        <f t="shared" si="20"/>
        <v>27346.9522082363</v>
      </c>
      <c r="AH20" s="2">
        <v>21476.7519715944</v>
      </c>
      <c r="AI20" s="2">
        <v>23220.8799348724</v>
      </c>
      <c r="AJ20" s="24">
        <v>0.1314</v>
      </c>
      <c r="AK20" s="4">
        <f t="shared" si="21"/>
        <v>2822.04520906751</v>
      </c>
      <c r="AL20" s="4">
        <f t="shared" si="29"/>
        <v>24298.7971806619</v>
      </c>
      <c r="AM20" s="4">
        <f t="shared" si="22"/>
        <v>330252.225146727</v>
      </c>
      <c r="AN20" s="4">
        <f t="shared" si="23"/>
        <v>0.0709185693856734</v>
      </c>
      <c r="AO20" s="4">
        <v>0</v>
      </c>
      <c r="AP20" s="4">
        <f t="shared" si="3"/>
        <v>23421.0153438412</v>
      </c>
      <c r="AQ20" s="4">
        <f t="shared" si="4"/>
        <v>306831.209802886</v>
      </c>
      <c r="AR20" s="15">
        <v>0.1634</v>
      </c>
      <c r="AS20" s="4">
        <f t="shared" si="24"/>
        <v>5144.4856</v>
      </c>
      <c r="AT20" s="3">
        <f t="shared" si="0"/>
        <v>14552.64</v>
      </c>
      <c r="AU20" s="3">
        <v>12400</v>
      </c>
      <c r="AV20" s="23">
        <v>0.1736</v>
      </c>
      <c r="AW20" s="2">
        <v>37.91339</v>
      </c>
      <c r="AX20" s="3">
        <v>43.50685</v>
      </c>
      <c r="AY20" s="3">
        <v>30.39993</v>
      </c>
      <c r="AZ20" s="3">
        <v>14.71063</v>
      </c>
      <c r="BA20" s="3">
        <v>38.72802</v>
      </c>
      <c r="BB20" s="3">
        <v>147.54668</v>
      </c>
      <c r="BC20" s="15">
        <f t="shared" si="25"/>
        <v>100947681572.4</v>
      </c>
      <c r="BD20" s="15">
        <f t="shared" si="26"/>
        <v>29934588470.2228</v>
      </c>
      <c r="BE20" s="15">
        <f t="shared" si="27"/>
        <v>698766688860.307</v>
      </c>
      <c r="BF20" s="11">
        <f t="shared" si="28"/>
        <v>8.2964895890293</v>
      </c>
    </row>
    <row r="21" spans="1:58">
      <c r="A21" s="2">
        <v>2037</v>
      </c>
      <c r="B21" s="2">
        <v>31388</v>
      </c>
      <c r="C21" s="7">
        <f t="shared" si="1"/>
        <v>0.317843532193353</v>
      </c>
      <c r="D21" s="8">
        <v>0.262208314768073</v>
      </c>
      <c r="E21" s="8">
        <v>0.0556352174252805</v>
      </c>
      <c r="F21" s="9">
        <v>0.682156467806647</v>
      </c>
      <c r="G21" s="2">
        <v>416303</v>
      </c>
      <c r="H21" s="4">
        <f t="shared" si="2"/>
        <v>113857.64656633</v>
      </c>
      <c r="I21" s="2">
        <v>86011.3440448509</v>
      </c>
      <c r="J21" s="2">
        <v>27846.3025214793</v>
      </c>
      <c r="K21" s="2">
        <v>302445.086558066</v>
      </c>
      <c r="L21" s="17">
        <v>9976.47278848498</v>
      </c>
      <c r="M21" s="17">
        <v>4067.57187981789</v>
      </c>
      <c r="N21" s="2">
        <v>8230.19458394027</v>
      </c>
      <c r="O21" s="2">
        <v>3151.67173412092</v>
      </c>
      <c r="P21" s="4">
        <f t="shared" si="5"/>
        <v>5078.52284981936</v>
      </c>
      <c r="Q21" s="4">
        <f t="shared" si="6"/>
        <v>1910.05095336222</v>
      </c>
      <c r="R21" s="4">
        <f t="shared" si="7"/>
        <v>6988.57380318158</v>
      </c>
      <c r="S21" s="4">
        <f t="shared" si="8"/>
        <v>91073.066732334</v>
      </c>
      <c r="T21" s="4">
        <f t="shared" si="9"/>
        <v>0.035347298502483</v>
      </c>
      <c r="U21" s="24">
        <f t="shared" si="10"/>
        <v>0.11284</v>
      </c>
      <c r="V21" s="4">
        <f t="shared" si="11"/>
        <v>3582.43992233597</v>
      </c>
      <c r="W21" s="4">
        <f t="shared" si="12"/>
        <v>87490.626809998</v>
      </c>
      <c r="X21" s="2">
        <v>1746.2782045447</v>
      </c>
      <c r="Y21" s="2">
        <v>915.900145696971</v>
      </c>
      <c r="Z21" s="4">
        <f t="shared" si="13"/>
        <v>830.378058847733</v>
      </c>
      <c r="AA21" s="4">
        <f t="shared" si="14"/>
        <v>405.273571044706</v>
      </c>
      <c r="AB21" s="4">
        <f t="shared" si="15"/>
        <v>1235.65162989244</v>
      </c>
      <c r="AC21" s="4">
        <f t="shared" si="16"/>
        <v>29167.476238221</v>
      </c>
      <c r="AD21" s="4">
        <f t="shared" si="17"/>
        <v>0.031843880536389</v>
      </c>
      <c r="AE21" s="24">
        <f t="shared" si="18"/>
        <v>0.11284</v>
      </c>
      <c r="AF21" s="4">
        <f t="shared" si="19"/>
        <v>1033.61205604045</v>
      </c>
      <c r="AG21" s="4">
        <f t="shared" si="20"/>
        <v>28133.8641821805</v>
      </c>
      <c r="AH21" s="2">
        <v>21411.527211515</v>
      </c>
      <c r="AI21" s="2">
        <v>23175.7406562357</v>
      </c>
      <c r="AJ21" s="24">
        <v>0.1314</v>
      </c>
      <c r="AK21" s="4">
        <f t="shared" si="21"/>
        <v>2813.47467559307</v>
      </c>
      <c r="AL21" s="4">
        <f t="shared" si="29"/>
        <v>24225.0018871081</v>
      </c>
      <c r="AM21" s="4">
        <f t="shared" si="22"/>
        <v>328434.301889895</v>
      </c>
      <c r="AN21" s="4">
        <f t="shared" si="23"/>
        <v>0.0711740119773819</v>
      </c>
      <c r="AO21" s="4">
        <v>0</v>
      </c>
      <c r="AP21" s="4">
        <f t="shared" si="3"/>
        <v>23375.9869364944</v>
      </c>
      <c r="AQ21" s="4">
        <f t="shared" si="4"/>
        <v>305058.314953401</v>
      </c>
      <c r="AR21" s="15">
        <v>0.1634</v>
      </c>
      <c r="AS21" s="4">
        <f t="shared" si="24"/>
        <v>5128.7992</v>
      </c>
      <c r="AT21" s="3">
        <f t="shared" si="0"/>
        <v>14716.944</v>
      </c>
      <c r="AU21" s="3">
        <v>12540</v>
      </c>
      <c r="AV21" s="23">
        <v>0.1736</v>
      </c>
      <c r="AW21" s="2">
        <v>37.23329</v>
      </c>
      <c r="AX21" s="3">
        <v>42.46779</v>
      </c>
      <c r="AY21" s="3">
        <v>29.63345</v>
      </c>
      <c r="AZ21" s="3">
        <v>13.87251</v>
      </c>
      <c r="BA21" s="3">
        <v>37.77292</v>
      </c>
      <c r="BB21" s="3">
        <v>146.48479</v>
      </c>
      <c r="BC21" s="15">
        <f t="shared" si="25"/>
        <v>101208940993.609</v>
      </c>
      <c r="BD21" s="15">
        <f t="shared" si="26"/>
        <v>27223831421.6727</v>
      </c>
      <c r="BE21" s="15">
        <f t="shared" si="27"/>
        <v>695398915060.897</v>
      </c>
      <c r="BF21" s="11">
        <f t="shared" si="28"/>
        <v>8.23831687476178</v>
      </c>
    </row>
    <row r="22" spans="1:58">
      <c r="A22" s="2">
        <v>2038</v>
      </c>
      <c r="B22" s="2">
        <v>31354</v>
      </c>
      <c r="C22" s="7">
        <f t="shared" si="1"/>
        <v>0.326731731264237</v>
      </c>
      <c r="D22" s="8">
        <v>0.267911710400075</v>
      </c>
      <c r="E22" s="8">
        <v>0.0588200208641614</v>
      </c>
      <c r="F22" s="9">
        <v>0.673268268735763</v>
      </c>
      <c r="G22" s="2">
        <v>419771</v>
      </c>
      <c r="H22" s="4">
        <f t="shared" si="2"/>
        <v>119281.408698359</v>
      </c>
      <c r="I22" s="2">
        <v>90699.0433046017</v>
      </c>
      <c r="J22" s="2">
        <v>28582.3653937573</v>
      </c>
      <c r="K22" s="2">
        <v>300489.858800894</v>
      </c>
      <c r="L22" s="17">
        <v>10244.3467020589</v>
      </c>
      <c r="M22" s="17">
        <v>4820.58457003007</v>
      </c>
      <c r="N22" s="2">
        <v>8400.10376788396</v>
      </c>
      <c r="O22" s="2">
        <v>3712.40450813313</v>
      </c>
      <c r="P22" s="4">
        <f t="shared" si="5"/>
        <v>4687.69925975083</v>
      </c>
      <c r="Q22" s="4">
        <f t="shared" si="6"/>
        <v>1926.47707909113</v>
      </c>
      <c r="R22" s="4">
        <f t="shared" si="7"/>
        <v>6614.17633884196</v>
      </c>
      <c r="S22" s="4">
        <f t="shared" si="8"/>
        <v>96337.924891826</v>
      </c>
      <c r="T22" s="4">
        <f t="shared" si="9"/>
        <v>0.0393215504490164</v>
      </c>
      <c r="U22" s="24">
        <f t="shared" si="10"/>
        <v>0.11284</v>
      </c>
      <c r="V22" s="4">
        <f t="shared" si="11"/>
        <v>4215.61216157367</v>
      </c>
      <c r="W22" s="4">
        <f t="shared" si="12"/>
        <v>92122.3127302523</v>
      </c>
      <c r="X22" s="2">
        <v>1844.24293417492</v>
      </c>
      <c r="Y22" s="2">
        <v>1108.18006189694</v>
      </c>
      <c r="Z22" s="4">
        <f t="shared" si="13"/>
        <v>736.062872277975</v>
      </c>
      <c r="AA22" s="4">
        <f t="shared" si="14"/>
        <v>422.958077559409</v>
      </c>
      <c r="AB22" s="4">
        <f t="shared" si="15"/>
        <v>1159.02094983738</v>
      </c>
      <c r="AC22" s="4">
        <f t="shared" si="16"/>
        <v>30113.5035332137</v>
      </c>
      <c r="AD22" s="4">
        <f t="shared" si="17"/>
        <v>0.0373243416343468</v>
      </c>
      <c r="AE22" s="24">
        <f t="shared" si="18"/>
        <v>0.11284</v>
      </c>
      <c r="AF22" s="4">
        <f t="shared" si="19"/>
        <v>1250.79509539572</v>
      </c>
      <c r="AG22" s="4">
        <f t="shared" si="20"/>
        <v>28862.708437818</v>
      </c>
      <c r="AH22" s="2">
        <v>21109.6532979411</v>
      </c>
      <c r="AI22" s="2">
        <v>23064.8810551133</v>
      </c>
      <c r="AJ22" s="24">
        <v>0.1314</v>
      </c>
      <c r="AK22" s="4">
        <f t="shared" si="21"/>
        <v>2773.80844334946</v>
      </c>
      <c r="AL22" s="4">
        <f t="shared" si="29"/>
        <v>23883.4617412906</v>
      </c>
      <c r="AM22" s="4">
        <f t="shared" si="22"/>
        <v>326328.548299357</v>
      </c>
      <c r="AN22" s="4">
        <f t="shared" si="23"/>
        <v>0.0712858697893839</v>
      </c>
      <c r="AO22" s="4">
        <v>0</v>
      </c>
      <c r="AP22" s="4">
        <f t="shared" si="3"/>
        <v>23262.6144026266</v>
      </c>
      <c r="AQ22" s="4">
        <f t="shared" si="4"/>
        <v>303065.93389673</v>
      </c>
      <c r="AR22" s="15">
        <v>0.1634</v>
      </c>
      <c r="AS22" s="4">
        <f t="shared" si="24"/>
        <v>5123.2436</v>
      </c>
      <c r="AT22" s="3">
        <f t="shared" si="0"/>
        <v>14904.72</v>
      </c>
      <c r="AU22" s="3">
        <v>12700</v>
      </c>
      <c r="AV22" s="23">
        <v>0.1736</v>
      </c>
      <c r="AW22" s="2">
        <v>36.53469</v>
      </c>
      <c r="AX22" s="3">
        <v>41.44239</v>
      </c>
      <c r="AY22" s="3">
        <v>28.91416</v>
      </c>
      <c r="AZ22" s="3">
        <v>13.06506</v>
      </c>
      <c r="BA22" s="3">
        <v>36.83458</v>
      </c>
      <c r="BB22" s="3">
        <v>145.45331</v>
      </c>
      <c r="BC22" s="15">
        <f t="shared" si="25"/>
        <v>102287516126.177</v>
      </c>
      <c r="BD22" s="15">
        <f t="shared" si="26"/>
        <v>26584576028.5737</v>
      </c>
      <c r="BE22" s="15">
        <f t="shared" si="27"/>
        <v>691394308669.677</v>
      </c>
      <c r="BF22" s="11">
        <f t="shared" si="28"/>
        <v>8.20266400824428</v>
      </c>
    </row>
    <row r="23" spans="1:58">
      <c r="A23" s="2">
        <v>2039</v>
      </c>
      <c r="B23" s="2">
        <v>31390</v>
      </c>
      <c r="C23" s="7">
        <f t="shared" si="1"/>
        <v>0.356712645503289</v>
      </c>
      <c r="D23" s="8">
        <v>0.296357915905703</v>
      </c>
      <c r="E23" s="8">
        <v>0.0603547295975854</v>
      </c>
      <c r="F23" s="9">
        <v>0.643287354496711</v>
      </c>
      <c r="G23" s="2">
        <v>422668</v>
      </c>
      <c r="H23" s="4">
        <f t="shared" si="2"/>
        <v>124839.995464472</v>
      </c>
      <c r="I23" s="2">
        <v>95681.1336603316</v>
      </c>
      <c r="J23" s="2">
        <v>29158.8618041403</v>
      </c>
      <c r="K23" s="2">
        <v>297827.704529606</v>
      </c>
      <c r="L23" s="17">
        <v>11197.2099423482</v>
      </c>
      <c r="M23" s="17">
        <v>5638.62317623541</v>
      </c>
      <c r="N23" s="2">
        <v>9302.67498028003</v>
      </c>
      <c r="O23" s="2">
        <v>4320.58462455015</v>
      </c>
      <c r="P23" s="4">
        <f t="shared" si="5"/>
        <v>4982.09035572988</v>
      </c>
      <c r="Q23" s="4">
        <f t="shared" si="6"/>
        <v>2056.8964332024</v>
      </c>
      <c r="R23" s="4">
        <f t="shared" si="7"/>
        <v>7038.98678893228</v>
      </c>
      <c r="S23" s="4">
        <f t="shared" si="8"/>
        <v>102058.614718084</v>
      </c>
      <c r="T23" s="4">
        <f t="shared" si="9"/>
        <v>0.0432051038587337</v>
      </c>
      <c r="U23" s="24">
        <f t="shared" si="10"/>
        <v>0.11284</v>
      </c>
      <c r="V23" s="4">
        <f t="shared" si="11"/>
        <v>4907.01573057432</v>
      </c>
      <c r="W23" s="4">
        <f t="shared" si="12"/>
        <v>97151.5989875097</v>
      </c>
      <c r="X23" s="2">
        <v>1894.53496206821</v>
      </c>
      <c r="Y23" s="2">
        <v>1318.03855168526</v>
      </c>
      <c r="Z23" s="4">
        <f t="shared" si="13"/>
        <v>576.496410382944</v>
      </c>
      <c r="AA23" s="4">
        <f t="shared" si="14"/>
        <v>418.896953222161</v>
      </c>
      <c r="AB23" s="4">
        <f t="shared" si="15"/>
        <v>995.393363605105</v>
      </c>
      <c r="AC23" s="4">
        <f t="shared" si="16"/>
        <v>30895.7973090477</v>
      </c>
      <c r="AD23" s="4">
        <f t="shared" si="17"/>
        <v>0.0432471326249333</v>
      </c>
      <c r="AE23" s="24">
        <f t="shared" si="18"/>
        <v>0.11284</v>
      </c>
      <c r="AF23" s="4">
        <f t="shared" si="19"/>
        <v>1486.92633378129</v>
      </c>
      <c r="AG23" s="4">
        <f t="shared" si="20"/>
        <v>29408.8709752664</v>
      </c>
      <c r="AH23" s="2">
        <v>20192.7900576518</v>
      </c>
      <c r="AI23" s="2">
        <v>22854.9443289395</v>
      </c>
      <c r="AJ23" s="24">
        <v>0.1314</v>
      </c>
      <c r="AK23" s="4">
        <f t="shared" si="21"/>
        <v>2653.33261357544</v>
      </c>
      <c r="AL23" s="4">
        <f t="shared" si="29"/>
        <v>22846.1226712272</v>
      </c>
      <c r="AM23" s="4">
        <f t="shared" si="22"/>
        <v>323335.981472121</v>
      </c>
      <c r="AN23" s="4">
        <f t="shared" si="23"/>
        <v>0.0712696630462874</v>
      </c>
      <c r="AO23" s="4">
        <v>0</v>
      </c>
      <c r="AP23" s="4">
        <f t="shared" si="3"/>
        <v>23044.0464502587</v>
      </c>
      <c r="AQ23" s="4">
        <f t="shared" si="4"/>
        <v>300291.935021863</v>
      </c>
      <c r="AR23" s="15">
        <v>0.1634</v>
      </c>
      <c r="AS23" s="4">
        <f t="shared" si="24"/>
        <v>5129.126</v>
      </c>
      <c r="AT23" s="3">
        <f t="shared" si="0"/>
        <v>15069.024</v>
      </c>
      <c r="AU23" s="3">
        <v>12840</v>
      </c>
      <c r="AV23" s="23">
        <v>0.1736</v>
      </c>
      <c r="AW23" s="2">
        <v>35.88822</v>
      </c>
      <c r="AX23" s="3">
        <v>40.43014</v>
      </c>
      <c r="AY23" s="3">
        <v>28.16666</v>
      </c>
      <c r="AZ23" s="3">
        <v>12.28909</v>
      </c>
      <c r="BA23" s="3">
        <v>35.91202</v>
      </c>
      <c r="BB23" s="3">
        <v>144.51479</v>
      </c>
      <c r="BC23" s="15">
        <f t="shared" si="25"/>
        <v>110139898962.266</v>
      </c>
      <c r="BD23" s="15">
        <f t="shared" si="26"/>
        <v>25011420744.5766</v>
      </c>
      <c r="BE23" s="15">
        <f t="shared" si="27"/>
        <v>681150578465.095</v>
      </c>
      <c r="BF23" s="11">
        <f t="shared" si="28"/>
        <v>8.16301898171938</v>
      </c>
    </row>
    <row r="24" spans="1:58">
      <c r="A24" s="2">
        <v>2040</v>
      </c>
      <c r="B24" s="2">
        <v>31159</v>
      </c>
      <c r="C24" s="7">
        <f t="shared" si="1"/>
        <v>0.385768622883877</v>
      </c>
      <c r="D24" s="8">
        <v>0.323993414060787</v>
      </c>
      <c r="E24" s="8">
        <v>0.0617752088230906</v>
      </c>
      <c r="F24" s="9">
        <v>0.614231377116123</v>
      </c>
      <c r="G24" s="2">
        <v>424773</v>
      </c>
      <c r="H24" s="4">
        <f t="shared" si="2"/>
        <v>130410.466471601</v>
      </c>
      <c r="I24" s="2">
        <v>100864.175661551</v>
      </c>
      <c r="J24" s="2">
        <v>29546.29081005</v>
      </c>
      <c r="K24" s="2">
        <v>294361.646253634</v>
      </c>
      <c r="L24" s="17">
        <v>12020.1645204387</v>
      </c>
      <c r="M24" s="17">
        <v>6449.69351330967</v>
      </c>
      <c r="N24" s="2">
        <v>10095.3107887201</v>
      </c>
      <c r="O24" s="2">
        <v>4912.2687875008</v>
      </c>
      <c r="P24" s="4">
        <f t="shared" si="5"/>
        <v>5183.04200121926</v>
      </c>
      <c r="Q24" s="4">
        <f t="shared" si="6"/>
        <v>2163.94276202837</v>
      </c>
      <c r="R24" s="4">
        <f t="shared" si="7"/>
        <v>7346.98476324762</v>
      </c>
      <c r="S24" s="4">
        <f t="shared" si="8"/>
        <v>107940.38721108</v>
      </c>
      <c r="T24" s="4">
        <f t="shared" si="9"/>
        <v>0.0464401012256263</v>
      </c>
      <c r="U24" s="24">
        <f t="shared" si="10"/>
        <v>0.11284</v>
      </c>
      <c r="V24" s="4">
        <f t="shared" si="11"/>
        <v>5578.4026298655</v>
      </c>
      <c r="W24" s="4">
        <f t="shared" si="12"/>
        <v>102361.984581215</v>
      </c>
      <c r="X24" s="2">
        <v>1924.85373171868</v>
      </c>
      <c r="Y24" s="2">
        <v>1537.42472580889</v>
      </c>
      <c r="Z24" s="4">
        <f t="shared" si="13"/>
        <v>387.429005909785</v>
      </c>
      <c r="AA24" s="4">
        <f t="shared" si="14"/>
        <v>412.59485595728</v>
      </c>
      <c r="AB24" s="4">
        <f t="shared" si="15"/>
        <v>800.023861867065</v>
      </c>
      <c r="AC24" s="4">
        <f t="shared" si="16"/>
        <v>31496.3103918162</v>
      </c>
      <c r="AD24" s="4">
        <f t="shared" si="17"/>
        <v>0.0494607771080418</v>
      </c>
      <c r="AE24" s="24">
        <f t="shared" si="18"/>
        <v>0.11284</v>
      </c>
      <c r="AF24" s="4">
        <f t="shared" si="19"/>
        <v>1733.61774954297</v>
      </c>
      <c r="AG24" s="4">
        <f t="shared" si="20"/>
        <v>29762.6926422732</v>
      </c>
      <c r="AH24" s="2">
        <v>19138.8354795613</v>
      </c>
      <c r="AI24" s="2">
        <v>22604.8937555335</v>
      </c>
      <c r="AJ24" s="24">
        <v>0.1314</v>
      </c>
      <c r="AK24" s="4">
        <f t="shared" si="21"/>
        <v>2514.84298201435</v>
      </c>
      <c r="AL24" s="4">
        <f t="shared" si="29"/>
        <v>21653.6784615756</v>
      </c>
      <c r="AM24" s="4">
        <f t="shared" si="22"/>
        <v>319481.382991182</v>
      </c>
      <c r="AN24" s="4">
        <f t="shared" si="23"/>
        <v>0.0713163406928684</v>
      </c>
      <c r="AO24" s="4">
        <v>0</v>
      </c>
      <c r="AP24" s="4">
        <f t="shared" si="3"/>
        <v>22784.2431544279</v>
      </c>
      <c r="AQ24" s="4">
        <f t="shared" si="4"/>
        <v>296697.139836754</v>
      </c>
      <c r="AR24" s="15">
        <v>0.1634</v>
      </c>
      <c r="AS24" s="4">
        <f t="shared" si="24"/>
        <v>5091.3806</v>
      </c>
      <c r="AT24" s="3">
        <f t="shared" si="0"/>
        <v>15245.064</v>
      </c>
      <c r="AU24" s="3">
        <v>12990</v>
      </c>
      <c r="AV24" s="23">
        <v>0.1736</v>
      </c>
      <c r="AW24" s="2">
        <v>35.28886</v>
      </c>
      <c r="AX24" s="3">
        <v>39.4305</v>
      </c>
      <c r="AY24" s="3">
        <v>27.46598</v>
      </c>
      <c r="AZ24" s="3">
        <v>11.60146</v>
      </c>
      <c r="BA24" s="3">
        <v>35.08617</v>
      </c>
      <c r="BB24" s="3">
        <v>143.60466</v>
      </c>
      <c r="BC24" s="15">
        <f t="shared" si="25"/>
        <v>117032921668.325</v>
      </c>
      <c r="BD24" s="15">
        <f t="shared" si="26"/>
        <v>23133454777.5795</v>
      </c>
      <c r="BE24" s="15">
        <f t="shared" si="27"/>
        <v>669351115128.812</v>
      </c>
      <c r="BF24" s="11">
        <f t="shared" si="28"/>
        <v>8.09517491574717</v>
      </c>
    </row>
    <row r="25" spans="1:58">
      <c r="A25" s="2">
        <v>2041</v>
      </c>
      <c r="B25" s="2">
        <v>31288</v>
      </c>
      <c r="F25" s="9"/>
      <c r="M25" s="17"/>
      <c r="U25" s="25"/>
      <c r="AT25" s="3">
        <f t="shared" si="0"/>
        <v>13140</v>
      </c>
      <c r="AU25" s="3">
        <v>13140</v>
      </c>
      <c r="AW25" s="2"/>
    </row>
    <row r="26" spans="1:58">
      <c r="A26" s="2">
        <v>2042</v>
      </c>
      <c r="B26" s="2">
        <v>31331</v>
      </c>
      <c r="F26" s="9"/>
      <c r="AT26" s="3">
        <f t="shared" si="0"/>
        <v>13270</v>
      </c>
      <c r="AU26" s="3">
        <v>13270</v>
      </c>
      <c r="AW26" s="2"/>
    </row>
    <row r="27" spans="1:58">
      <c r="A27" s="2">
        <v>2043</v>
      </c>
      <c r="B27" s="2">
        <v>31300</v>
      </c>
      <c r="F27" s="9"/>
      <c r="AT27" s="3">
        <f t="shared" si="0"/>
        <v>13390</v>
      </c>
      <c r="AU27" s="3">
        <v>13390</v>
      </c>
      <c r="AW27" s="2"/>
    </row>
    <row r="28" spans="1:58">
      <c r="A28" s="2">
        <v>2044</v>
      </c>
      <c r="B28" s="2">
        <v>31233</v>
      </c>
      <c r="F28" s="9"/>
      <c r="AT28" s="3">
        <f t="shared" si="0"/>
        <v>13510</v>
      </c>
      <c r="AU28" s="3">
        <v>13510</v>
      </c>
      <c r="AW28" s="2"/>
    </row>
    <row r="29" spans="1:58">
      <c r="A29" s="2">
        <v>2045</v>
      </c>
      <c r="B29" s="2">
        <v>31117</v>
      </c>
      <c r="F29" s="9"/>
      <c r="O29" s="17"/>
      <c r="Q29" s="17"/>
      <c r="R29" s="17"/>
      <c r="S29" s="17"/>
      <c r="T29" s="17"/>
      <c r="U29" s="17"/>
      <c r="V29" s="17"/>
      <c r="W29" s="17"/>
      <c r="AA29" s="17"/>
      <c r="AB29" s="17"/>
      <c r="AC29" s="17"/>
      <c r="AD29" s="17"/>
      <c r="AE29" s="17"/>
      <c r="AF29" s="17"/>
      <c r="AG29" s="17"/>
      <c r="AJ29" s="17"/>
      <c r="AK29" s="17"/>
      <c r="AL29" s="17"/>
      <c r="AM29" s="17"/>
      <c r="AN29" s="17"/>
      <c r="AO29" s="17"/>
      <c r="AP29" s="17"/>
      <c r="AQ29" s="17"/>
      <c r="AR29" s="17"/>
      <c r="AT29" s="3">
        <f t="shared" si="0"/>
        <v>13620</v>
      </c>
      <c r="AU29" s="3">
        <v>13620</v>
      </c>
      <c r="AW29" s="2"/>
    </row>
    <row r="30" spans="1:58">
      <c r="A30" s="2">
        <v>2046</v>
      </c>
      <c r="B30" s="2">
        <v>30947</v>
      </c>
      <c r="F30" s="9"/>
      <c r="AT30" s="3">
        <f t="shared" si="0"/>
        <v>13720</v>
      </c>
      <c r="AU30" s="3">
        <v>13720</v>
      </c>
      <c r="AW30" s="2"/>
      <c r="BF30" s="3">
        <f>SUM(BF5:BF24)</f>
        <v>165.100437783481</v>
      </c>
    </row>
    <row r="31" spans="1:58">
      <c r="A31" s="2">
        <v>2047</v>
      </c>
      <c r="B31" s="2">
        <v>30717</v>
      </c>
      <c r="F31" s="9"/>
      <c r="AT31" s="3">
        <f t="shared" si="0"/>
        <v>13800</v>
      </c>
      <c r="AU31" s="3">
        <v>13800</v>
      </c>
      <c r="AW31" s="2"/>
    </row>
    <row r="32" spans="1:58">
      <c r="A32" s="2">
        <v>2048</v>
      </c>
      <c r="B32" s="2">
        <v>30435</v>
      </c>
      <c r="F32" s="9"/>
      <c r="AT32" s="3">
        <f t="shared" si="0"/>
        <v>13880</v>
      </c>
      <c r="AU32" s="3">
        <v>13880</v>
      </c>
      <c r="AW32" s="2"/>
    </row>
    <row r="33" spans="1:57">
      <c r="A33" s="2">
        <v>2049</v>
      </c>
      <c r="B33" s="2">
        <v>30101</v>
      </c>
      <c r="F33" s="9"/>
      <c r="AT33" s="3">
        <f t="shared" si="0"/>
        <v>13950</v>
      </c>
      <c r="AU33" s="3">
        <v>13950</v>
      </c>
      <c r="AW33" s="2"/>
    </row>
    <row r="34" spans="1:57">
      <c r="A34" s="2">
        <v>2050</v>
      </c>
      <c r="B34" s="2">
        <v>29716</v>
      </c>
      <c r="F34" s="9"/>
      <c r="AT34" s="3">
        <f t="shared" si="0"/>
        <v>14020</v>
      </c>
      <c r="AU34" s="3">
        <v>14020</v>
      </c>
    </row>
    <row r="35" spans="1:57">
      <c r="I35" s="18"/>
    </row>
    <row r="36" spans="1:57">
      <c r="G36" s="19"/>
      <c r="I36" s="18"/>
      <c r="L36" s="19"/>
      <c r="M36" s="19"/>
      <c r="AI36" s="19"/>
    </row>
    <row r="37" spans="1:57">
      <c r="I37" s="18"/>
      <c r="L37" s="17"/>
      <c r="M37" s="17"/>
    </row>
    <row r="38" spans="1:57">
      <c r="I38" s="18"/>
      <c r="L38" s="17"/>
      <c r="M38" s="17"/>
    </row>
    <row r="39" spans="1:57">
      <c r="I39" s="18"/>
      <c r="L39" s="17"/>
      <c r="M39" s="17"/>
    </row>
    <row r="40" spans="1:57">
      <c r="B40" s="3"/>
      <c r="I40" s="18"/>
      <c r="L40" s="17"/>
      <c r="M40" s="17"/>
    </row>
    <row r="41" spans="1:57">
      <c r="I41" s="18"/>
      <c r="L41" s="17"/>
      <c r="M41" s="17"/>
    </row>
    <row r="42" spans="1:57">
      <c r="I42" s="18"/>
      <c r="L42" s="17"/>
      <c r="M42" s="17"/>
    </row>
    <row r="43" spans="1:57">
      <c r="I43" s="18"/>
      <c r="L43" s="17"/>
      <c r="M43" s="17"/>
    </row>
    <row r="44" spans="1:57">
      <c r="I44" s="18"/>
      <c r="L44" s="17"/>
      <c r="M44" s="17"/>
    </row>
    <row r="45" spans="1:57">
      <c r="I45" s="18"/>
      <c r="L45" s="17"/>
      <c r="M45" s="17"/>
    </row>
    <row r="46" spans="1:57">
      <c r="I46" s="18"/>
      <c r="L46" s="17"/>
      <c r="M46" s="17"/>
      <c r="BD46" s="26"/>
      <c r="BE46" s="27"/>
    </row>
    <row r="47" spans="1:57">
      <c r="I47" s="18"/>
      <c r="L47" s="17"/>
      <c r="M47" s="17"/>
      <c r="BD47" s="26"/>
      <c r="BE47" s="27"/>
    </row>
    <row r="48" spans="1:57">
      <c r="I48" s="18"/>
      <c r="L48" s="17"/>
      <c r="M48" s="17"/>
      <c r="BD48" s="26"/>
      <c r="BE48" s="27"/>
    </row>
    <row r="49" spans="9:57">
      <c r="I49" s="18"/>
      <c r="L49" s="17"/>
      <c r="M49" s="17"/>
      <c r="BD49" s="26"/>
      <c r="BE49" s="27"/>
    </row>
    <row r="50" spans="9:57">
      <c r="I50" s="18"/>
      <c r="L50" s="17"/>
      <c r="M50" s="17"/>
    </row>
    <row r="51" spans="9:57">
      <c r="I51" s="18"/>
      <c r="L51" s="17"/>
      <c r="M51" s="17"/>
    </row>
    <row r="52" spans="9:57">
      <c r="I52" s="18"/>
      <c r="L52" s="17"/>
      <c r="M52" s="17"/>
    </row>
    <row r="53" spans="9:57">
      <c r="I53" s="18"/>
      <c r="L53" s="17"/>
      <c r="M53" s="17"/>
    </row>
    <row r="54" spans="9:57">
      <c r="I54" s="18"/>
      <c r="L54" s="17"/>
      <c r="M54" s="17"/>
    </row>
    <row r="55" spans="9:57">
      <c r="I55" s="18"/>
      <c r="L55" s="17"/>
      <c r="M55" s="17"/>
    </row>
    <row r="56" spans="9:57">
      <c r="I56" s="18"/>
      <c r="L56" s="17"/>
      <c r="M56" s="17"/>
    </row>
    <row r="57" spans="9:57">
      <c r="I57" s="18"/>
      <c r="L57" s="17"/>
      <c r="M57" s="17"/>
    </row>
    <row r="58" spans="9:57">
      <c r="I58" s="18"/>
      <c r="L58" s="17"/>
      <c r="M58" s="17"/>
    </row>
    <row r="59" spans="9:57">
      <c r="I59" s="18"/>
      <c r="M59" s="17"/>
    </row>
    <row r="60" spans="9:57">
      <c r="I60" s="18"/>
      <c r="M60" s="17"/>
    </row>
    <row r="61" spans="9:57">
      <c r="I61" s="18"/>
      <c r="M61" s="17"/>
    </row>
    <row r="62" spans="9:57">
      <c r="I62" s="18"/>
      <c r="M62" s="17"/>
    </row>
    <row r="63" spans="9:57">
      <c r="I63" s="18"/>
      <c r="M63" s="17"/>
    </row>
    <row r="64" spans="9:57">
      <c r="I64" s="18"/>
      <c r="M64" s="17"/>
    </row>
    <row r="65" spans="9:13">
      <c r="I65" s="18"/>
      <c r="M65" s="17"/>
    </row>
    <row r="66" spans="9:13">
      <c r="I66" s="18"/>
    </row>
    <row r="67" spans="9:13">
      <c r="I67" s="18"/>
    </row>
    <row r="68" spans="9:13">
      <c r="I68" s="18"/>
    </row>
    <row r="69" spans="9:13">
      <c r="I69" s="18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69"/>
  <sheetViews>
    <sheetView zoomScale="81" zoomScaleNormal="81" topLeftCell="Q1" workbookViewId="0">
      <selection activeCell="AE29" sqref="AE29"/>
    </sheetView>
  </sheetViews>
  <sheetFormatPr defaultColWidth="9" defaultRowHeight="14"/>
  <cols>
    <col min="1" max="1" width="9" style="2"/>
    <col min="2" max="5" width="13" style="2" customWidth="1"/>
    <col min="6" max="6" width="16.8583333333333" style="2" customWidth="1"/>
    <col min="7" max="7" width="16" style="2" customWidth="1"/>
    <col min="8" max="10" width="18.8583333333333" style="2" customWidth="1"/>
    <col min="11" max="11" width="19.3583333333333" style="2" customWidth="1"/>
    <col min="12" max="12" width="18.7083333333333" style="2" customWidth="1"/>
    <col min="13" max="17" width="18" style="2" customWidth="1"/>
    <col min="18" max="18" width="21" style="2" customWidth="1"/>
    <col min="19" max="19" width="22.6416666666667" style="2" customWidth="1"/>
    <col min="20" max="20" width="19" style="3" customWidth="1"/>
    <col min="21" max="22" width="19.3583333333333" style="3" customWidth="1"/>
    <col min="23" max="23" width="21.3583333333333" style="3" customWidth="1"/>
    <col min="24" max="27" width="17.1416666666667" style="3" customWidth="1"/>
    <col min="28" max="28" width="13.1416666666667" style="3" customWidth="1"/>
    <col min="29" max="29" width="15.8583333333333" style="3" customWidth="1"/>
    <col min="30" max="30" width="11.5" style="3" customWidth="1"/>
    <col min="31" max="31" width="13.8583333333333" style="3" customWidth="1"/>
    <col min="32" max="16384" width="9" style="3"/>
  </cols>
  <sheetData>
    <row r="1" spans="1:41">
      <c r="A1" s="2" t="s">
        <v>0</v>
      </c>
      <c r="B1" s="2" t="s">
        <v>1</v>
      </c>
      <c r="C1" s="4" t="s">
        <v>8</v>
      </c>
      <c r="D1" s="2" t="s">
        <v>9</v>
      </c>
      <c r="E1" s="2" t="s">
        <v>10</v>
      </c>
      <c r="F1" s="2" t="s">
        <v>11</v>
      </c>
      <c r="G1" s="2" t="s">
        <v>2</v>
      </c>
      <c r="H1" s="4" t="s">
        <v>12</v>
      </c>
      <c r="I1" s="2" t="s">
        <v>13</v>
      </c>
      <c r="J1" s="2" t="s">
        <v>14</v>
      </c>
      <c r="K1" s="2" t="s">
        <v>15</v>
      </c>
      <c r="L1" s="3" t="s">
        <v>16</v>
      </c>
      <c r="M1" s="3" t="s">
        <v>17</v>
      </c>
      <c r="N1" s="2" t="s">
        <v>18</v>
      </c>
      <c r="O1" s="2" t="s">
        <v>19</v>
      </c>
      <c r="P1" s="2" t="s">
        <v>28</v>
      </c>
      <c r="Q1" s="3" t="s">
        <v>29</v>
      </c>
      <c r="R1" s="3" t="s">
        <v>38</v>
      </c>
      <c r="S1" s="3" t="s">
        <v>39</v>
      </c>
      <c r="T1" s="2" t="s">
        <v>50</v>
      </c>
      <c r="U1" s="2" t="s">
        <v>3</v>
      </c>
      <c r="V1" s="2" t="s">
        <v>52</v>
      </c>
      <c r="W1" s="2" t="s">
        <v>53</v>
      </c>
      <c r="X1" s="2" t="s">
        <v>4</v>
      </c>
      <c r="Y1" s="2" t="s">
        <v>54</v>
      </c>
      <c r="Z1" s="2" t="s">
        <v>55</v>
      </c>
      <c r="AA1" s="2" t="s">
        <v>5</v>
      </c>
      <c r="AB1" s="5" t="s">
        <v>56</v>
      </c>
      <c r="AC1" s="5" t="s">
        <v>57</v>
      </c>
      <c r="AD1" s="5" t="s">
        <v>6</v>
      </c>
      <c r="AE1" s="5" t="s">
        <v>7</v>
      </c>
      <c r="AG1" s="6"/>
    </row>
    <row r="2" spans="1:41">
      <c r="A2" s="2">
        <v>2018</v>
      </c>
      <c r="B2" s="2">
        <v>25411</v>
      </c>
      <c r="C2" s="4"/>
      <c r="G2" s="2">
        <v>202332</v>
      </c>
      <c r="H2" s="4"/>
      <c r="T2" s="3">
        <v>10790</v>
      </c>
      <c r="U2" s="3">
        <v>10790</v>
      </c>
      <c r="V2" s="2"/>
    </row>
    <row r="3" spans="1:41">
      <c r="A3" s="2">
        <v>2019</v>
      </c>
      <c r="B3" s="2">
        <v>23562</v>
      </c>
      <c r="C3" s="7">
        <f>1-F3</f>
        <v>0.0419803617850996</v>
      </c>
      <c r="D3" s="8">
        <v>0.032599898876045</v>
      </c>
      <c r="E3" s="8">
        <v>0.00938046290905463</v>
      </c>
      <c r="F3" s="9">
        <v>0.9580196382149</v>
      </c>
      <c r="G3" s="2">
        <v>222992</v>
      </c>
      <c r="H3" s="4">
        <f>I3+J3</f>
        <v>3761.60572462367</v>
      </c>
      <c r="I3" s="2">
        <v>2938.92945136004</v>
      </c>
      <c r="J3" s="2">
        <v>822.676273263626</v>
      </c>
      <c r="K3" s="2">
        <v>219230.550413899</v>
      </c>
      <c r="L3" s="10">
        <f t="shared" ref="L3:L24" si="0">C3*B3</f>
        <v>989.141284380516</v>
      </c>
      <c r="M3" s="10"/>
      <c r="N3" s="4">
        <f>D3*B3</f>
        <v>768.118817317372</v>
      </c>
      <c r="O3" s="4"/>
      <c r="P3" s="4">
        <f>E3*B3</f>
        <v>221.022467063145</v>
      </c>
      <c r="Q3" s="4"/>
      <c r="R3" s="4">
        <f>B3*F3</f>
        <v>22572.8587156195</v>
      </c>
      <c r="S3" s="4"/>
      <c r="T3" s="3">
        <v>10590</v>
      </c>
      <c r="U3" s="3">
        <v>10590</v>
      </c>
      <c r="V3" s="2"/>
    </row>
    <row r="4" spans="1:41">
      <c r="A4" s="2">
        <v>2020</v>
      </c>
      <c r="B4" s="2">
        <v>24584</v>
      </c>
      <c r="C4" s="7">
        <f t="shared" ref="C4:C24" si="1">1-F4</f>
        <v>0.048418717521153</v>
      </c>
      <c r="D4" s="8">
        <v>0.032875363716192</v>
      </c>
      <c r="E4" s="8">
        <v>0.015543353804961</v>
      </c>
      <c r="F4" s="9">
        <v>0.951581282478847</v>
      </c>
      <c r="G4" s="2">
        <v>240900</v>
      </c>
      <c r="H4" s="4">
        <f t="shared" ref="H4:H24" si="2">I4+J4</f>
        <v>4933.52636113495</v>
      </c>
      <c r="I4" s="2">
        <v>3737.50948282408</v>
      </c>
      <c r="J4" s="2">
        <v>1196.01687831087</v>
      </c>
      <c r="K4" s="2">
        <v>235966.222289356</v>
      </c>
      <c r="L4" s="10">
        <f t="shared" si="0"/>
        <v>1190.32575154003</v>
      </c>
      <c r="M4" s="10">
        <f>H3+L4-H4</f>
        <v>18.4051150287432</v>
      </c>
      <c r="N4" s="4">
        <f t="shared" ref="N4:N24" si="3">D4*B4</f>
        <v>808.207941598863</v>
      </c>
      <c r="O4" s="4">
        <f>I3+N4-I4</f>
        <v>9.62791013482638</v>
      </c>
      <c r="P4" s="4">
        <f t="shared" ref="P4:P24" si="4">E4*B4</f>
        <v>382.117809941162</v>
      </c>
      <c r="Q4" s="4">
        <f>J3+P4-J4</f>
        <v>8.77720489391663</v>
      </c>
      <c r="R4" s="4">
        <f t="shared" ref="R4:R24" si="5">B4*F4</f>
        <v>23393.67424846</v>
      </c>
      <c r="S4" s="4">
        <f>R4+K3-K4</f>
        <v>6658.00237300285</v>
      </c>
      <c r="T4" s="3">
        <v>10560</v>
      </c>
      <c r="U4" s="3">
        <v>10560</v>
      </c>
      <c r="V4" s="2"/>
      <c r="AB4" s="11"/>
      <c r="AC4" s="11"/>
      <c r="AD4" s="11"/>
      <c r="AE4" s="11"/>
    </row>
    <row r="5" spans="1:41">
      <c r="A5" s="2">
        <v>2021</v>
      </c>
      <c r="B5" s="2">
        <v>25535</v>
      </c>
      <c r="C5" s="7">
        <f t="shared" si="1"/>
        <v>0.0853030714432165</v>
      </c>
      <c r="D5" s="8">
        <v>0.0625742701882644</v>
      </c>
      <c r="E5" s="8">
        <v>0.0227288012549521</v>
      </c>
      <c r="F5" s="9">
        <v>0.914696928556784</v>
      </c>
      <c r="G5" s="2">
        <v>258441</v>
      </c>
      <c r="H5" s="4">
        <f t="shared" si="2"/>
        <v>7077.55008760057</v>
      </c>
      <c r="I5" s="2">
        <v>5305.87445977142</v>
      </c>
      <c r="J5" s="2">
        <v>1771.67562782915</v>
      </c>
      <c r="K5" s="2">
        <v>251363.517513367</v>
      </c>
      <c r="L5" s="10">
        <f t="shared" si="0"/>
        <v>2178.21392930253</v>
      </c>
      <c r="M5" s="10">
        <f t="shared" ref="M5:M24" si="6">H4+L5-H5</f>
        <v>34.1902028369113</v>
      </c>
      <c r="N5" s="4">
        <f t="shared" si="3"/>
        <v>1597.83398925733</v>
      </c>
      <c r="O5" s="4">
        <f t="shared" ref="O5:O24" si="7">I4+N5-I5</f>
        <v>29.4690123099899</v>
      </c>
      <c r="P5" s="4">
        <f t="shared" si="4"/>
        <v>580.379940045201</v>
      </c>
      <c r="Q5" s="4">
        <f t="shared" ref="Q5:Q24" si="8">J4+P5-J5</f>
        <v>4.72119052692278</v>
      </c>
      <c r="R5" s="4">
        <f t="shared" si="5"/>
        <v>23356.7860706975</v>
      </c>
      <c r="S5" s="4">
        <f t="shared" ref="S5:S24" si="9">R5+K4-K5</f>
        <v>7959.49084668668</v>
      </c>
      <c r="T5" s="3">
        <v>10540</v>
      </c>
      <c r="U5" s="3">
        <v>10540</v>
      </c>
      <c r="V5" s="1">
        <v>69.96</v>
      </c>
      <c r="W5" s="1">
        <v>87.12</v>
      </c>
      <c r="X5" s="1">
        <v>60.36</v>
      </c>
      <c r="Y5" s="1">
        <v>81.15</v>
      </c>
      <c r="Z5" s="1">
        <v>127.98</v>
      </c>
      <c r="AA5" s="3">
        <v>205.33</v>
      </c>
      <c r="AB5" s="15">
        <f>V5*T5*15*N5+Y5*T5*I5</f>
        <v>22211349905.769</v>
      </c>
      <c r="AC5" s="15">
        <f>W5*T5*15*P5+J5*T5*Z5</f>
        <v>10383792483.3568</v>
      </c>
      <c r="AD5" s="15">
        <f>U5*X5*15*R5+K5*U5*AA5</f>
        <v>766887292380.384</v>
      </c>
      <c r="AE5" s="15">
        <f t="shared" ref="AE5:AE24" si="10">(AD5+AC5+AB5)/100000000000</f>
        <v>7.9948243476951</v>
      </c>
      <c r="AG5" s="1"/>
      <c r="AH5" s="1"/>
      <c r="AI5" s="1"/>
      <c r="AJ5" s="1"/>
      <c r="AK5" s="1"/>
      <c r="AL5" s="1"/>
      <c r="AM5" s="1"/>
      <c r="AN5" s="1"/>
      <c r="AO5" s="1"/>
    </row>
    <row r="6" spans="1:41">
      <c r="A6" s="2">
        <v>2022</v>
      </c>
      <c r="B6" s="2">
        <v>26419</v>
      </c>
      <c r="C6" s="7">
        <f t="shared" si="1"/>
        <v>0.0948372473238583</v>
      </c>
      <c r="D6" s="8">
        <v>0.0714844983147803</v>
      </c>
      <c r="E6" s="8">
        <v>0.0233527490090781</v>
      </c>
      <c r="F6" s="9">
        <v>0.905162752676142</v>
      </c>
      <c r="G6" s="2">
        <v>275271</v>
      </c>
      <c r="H6" s="4">
        <f t="shared" si="2"/>
        <v>9519.25801058289</v>
      </c>
      <c r="I6" s="2">
        <v>7133.62247037181</v>
      </c>
      <c r="J6" s="2">
        <v>2385.63554021108</v>
      </c>
      <c r="K6" s="2">
        <v>265751.540156694</v>
      </c>
      <c r="L6" s="10">
        <f t="shared" si="0"/>
        <v>2505.50523704901</v>
      </c>
      <c r="M6" s="10">
        <f t="shared" si="6"/>
        <v>63.7973140666927</v>
      </c>
      <c r="N6" s="4">
        <f t="shared" si="3"/>
        <v>1888.54896097818</v>
      </c>
      <c r="O6" s="4">
        <f t="shared" si="7"/>
        <v>60.8009503777894</v>
      </c>
      <c r="P6" s="4">
        <f t="shared" si="4"/>
        <v>616.956276070835</v>
      </c>
      <c r="Q6" s="4">
        <f t="shared" si="8"/>
        <v>2.99636368890333</v>
      </c>
      <c r="R6" s="4">
        <f t="shared" si="5"/>
        <v>23913.494762951</v>
      </c>
      <c r="S6" s="4">
        <f t="shared" si="9"/>
        <v>9525.47211962473</v>
      </c>
      <c r="T6" s="3">
        <v>10530</v>
      </c>
      <c r="U6" s="3">
        <v>10530</v>
      </c>
      <c r="V6" s="2">
        <v>63.50439</v>
      </c>
      <c r="W6" s="3">
        <v>68.62355</v>
      </c>
      <c r="X6" s="3">
        <v>46.44221</v>
      </c>
      <c r="Y6" s="3">
        <v>75.00653</v>
      </c>
      <c r="Z6" s="3">
        <v>119.99232</v>
      </c>
      <c r="AA6" s="3">
        <v>193.29066</v>
      </c>
      <c r="AB6" s="15">
        <f t="shared" ref="AB6:AB24" si="11">V6*T6*15*N6+Y6*T6*I6</f>
        <v>24577393963.6142</v>
      </c>
      <c r="AC6" s="15">
        <f t="shared" ref="AC6:AC24" si="12">W6*T6*15*P6+J6*T6*Z6</f>
        <v>9701540572.50159</v>
      </c>
      <c r="AD6" s="15">
        <f t="shared" ref="AD6:AD24" si="13">U6*X6*15*R6+K6*U6*AA6</f>
        <v>716316136373.146</v>
      </c>
      <c r="AE6" s="11">
        <f t="shared" si="10"/>
        <v>7.50595070909262</v>
      </c>
      <c r="AG6" s="1"/>
      <c r="AH6" s="1"/>
      <c r="AI6" s="1"/>
      <c r="AJ6" s="1"/>
      <c r="AL6" s="1"/>
      <c r="AM6" s="1"/>
      <c r="AN6" s="1"/>
      <c r="AO6" s="1"/>
    </row>
    <row r="7" spans="1:41">
      <c r="A7" s="2">
        <v>2023</v>
      </c>
      <c r="B7" s="2">
        <v>27241</v>
      </c>
      <c r="C7" s="7">
        <f t="shared" si="1"/>
        <v>0.113208921785586</v>
      </c>
      <c r="D7" s="8">
        <v>0.085150312799082</v>
      </c>
      <c r="E7" s="8">
        <v>0.0280586089865036</v>
      </c>
      <c r="F7" s="9">
        <v>0.886791078214414</v>
      </c>
      <c r="G7" s="2">
        <v>291214</v>
      </c>
      <c r="H7" s="4">
        <f t="shared" si="2"/>
        <v>12461.0783897459</v>
      </c>
      <c r="I7" s="2">
        <v>9313.60419080649</v>
      </c>
      <c r="J7" s="2">
        <v>3147.47419893943</v>
      </c>
      <c r="K7" s="2">
        <v>278752.829191179</v>
      </c>
      <c r="L7" s="10">
        <f t="shared" si="0"/>
        <v>3083.92423836114</v>
      </c>
      <c r="M7" s="10">
        <f t="shared" si="6"/>
        <v>142.103859198116</v>
      </c>
      <c r="N7" s="4">
        <f t="shared" si="3"/>
        <v>2319.57967095979</v>
      </c>
      <c r="O7" s="4">
        <f t="shared" si="7"/>
        <v>139.597950525118</v>
      </c>
      <c r="P7" s="4">
        <f t="shared" si="4"/>
        <v>764.344567401344</v>
      </c>
      <c r="Q7" s="4">
        <f t="shared" si="8"/>
        <v>2.50590867299798</v>
      </c>
      <c r="R7" s="4">
        <f t="shared" si="5"/>
        <v>24157.0757616389</v>
      </c>
      <c r="S7" s="4">
        <f t="shared" si="9"/>
        <v>11155.7867271539</v>
      </c>
      <c r="T7" s="3">
        <v>10550</v>
      </c>
      <c r="U7" s="3">
        <v>10550</v>
      </c>
      <c r="V7" s="2">
        <v>58.60798</v>
      </c>
      <c r="W7" s="3">
        <v>64.11265</v>
      </c>
      <c r="X7" s="3">
        <v>43.40028</v>
      </c>
      <c r="Y7" s="3">
        <v>68.55456</v>
      </c>
      <c r="Z7" s="3">
        <v>111.48886</v>
      </c>
      <c r="AA7" s="3">
        <v>184.10518</v>
      </c>
      <c r="AB7" s="15">
        <f t="shared" si="11"/>
        <v>28249505239.728</v>
      </c>
      <c r="AC7" s="15">
        <f t="shared" si="12"/>
        <v>11456990318.0137</v>
      </c>
      <c r="AD7" s="15">
        <f t="shared" si="13"/>
        <v>707337384408.826</v>
      </c>
      <c r="AE7" s="11">
        <f t="shared" si="10"/>
        <v>7.47043879966567</v>
      </c>
      <c r="AG7" s="1"/>
      <c r="AH7" s="1"/>
      <c r="AI7" s="1"/>
      <c r="AJ7" s="1"/>
      <c r="AL7" s="1"/>
      <c r="AM7" s="1"/>
      <c r="AN7" s="1"/>
      <c r="AO7" s="1"/>
    </row>
    <row r="8" spans="1:41">
      <c r="A8" s="2">
        <v>2024</v>
      </c>
      <c r="B8" s="2">
        <v>27993</v>
      </c>
      <c r="C8" s="7">
        <f t="shared" si="1"/>
        <v>0.151921549573801</v>
      </c>
      <c r="D8" s="8">
        <v>0.117148866299154</v>
      </c>
      <c r="E8" s="8">
        <v>0.0347726832746464</v>
      </c>
      <c r="F8" s="9">
        <v>0.848078450426199</v>
      </c>
      <c r="G8" s="2">
        <v>306166</v>
      </c>
      <c r="H8" s="4">
        <f t="shared" si="2"/>
        <v>16506.4772076612</v>
      </c>
      <c r="I8" s="2">
        <v>12386.0870320505</v>
      </c>
      <c r="J8" s="2">
        <v>4120.39017561064</v>
      </c>
      <c r="K8" s="2">
        <v>289658.978149812</v>
      </c>
      <c r="L8" s="10">
        <f t="shared" si="0"/>
        <v>4252.7399372194</v>
      </c>
      <c r="M8" s="10">
        <f t="shared" si="6"/>
        <v>207.341119304139</v>
      </c>
      <c r="N8" s="4">
        <f t="shared" si="3"/>
        <v>3279.34821431223</v>
      </c>
      <c r="O8" s="4">
        <f t="shared" si="7"/>
        <v>206.865373068174</v>
      </c>
      <c r="P8" s="4">
        <f t="shared" si="4"/>
        <v>973.391722907178</v>
      </c>
      <c r="Q8" s="4">
        <f t="shared" si="8"/>
        <v>0.475746235962106</v>
      </c>
      <c r="R8" s="4">
        <f t="shared" si="5"/>
        <v>23740.2600627806</v>
      </c>
      <c r="S8" s="4">
        <f t="shared" si="9"/>
        <v>12834.1111041472</v>
      </c>
      <c r="T8" s="3">
        <v>10590</v>
      </c>
      <c r="U8" s="3">
        <v>10590</v>
      </c>
      <c r="V8" s="2">
        <v>54.93549</v>
      </c>
      <c r="W8" s="3">
        <v>61.07847</v>
      </c>
      <c r="X8" s="3">
        <v>41.44773</v>
      </c>
      <c r="Y8" s="3">
        <v>61.09175</v>
      </c>
      <c r="Z8" s="3">
        <v>101.3207</v>
      </c>
      <c r="AA8" s="3">
        <v>177.15032</v>
      </c>
      <c r="AB8" s="15">
        <f t="shared" si="11"/>
        <v>36630563760.7723</v>
      </c>
      <c r="AC8" s="15">
        <f t="shared" si="12"/>
        <v>13865274925.2267</v>
      </c>
      <c r="AD8" s="15">
        <f t="shared" si="13"/>
        <v>699711788697.801</v>
      </c>
      <c r="AE8" s="11">
        <f t="shared" si="10"/>
        <v>7.502076273838</v>
      </c>
      <c r="AG8" s="1"/>
      <c r="AH8" s="1"/>
      <c r="AI8" s="1"/>
      <c r="AJ8" s="1"/>
      <c r="AL8" s="1"/>
      <c r="AM8" s="1"/>
      <c r="AN8" s="1"/>
      <c r="AO8" s="1"/>
    </row>
    <row r="9" spans="1:41">
      <c r="A9" s="2">
        <v>2025</v>
      </c>
      <c r="B9" s="2">
        <v>28671</v>
      </c>
      <c r="C9" s="7">
        <f t="shared" si="1"/>
        <v>0.209462516960962</v>
      </c>
      <c r="D9" s="8">
        <v>0.164993883786381</v>
      </c>
      <c r="E9" s="8">
        <v>0.0445686331745817</v>
      </c>
      <c r="F9" s="9">
        <v>0.790537483039038</v>
      </c>
      <c r="G9" s="2">
        <v>320049</v>
      </c>
      <c r="H9" s="4">
        <f t="shared" si="2"/>
        <v>22278.4307772384</v>
      </c>
      <c r="I9" s="2">
        <v>16880.7057955733</v>
      </c>
      <c r="J9" s="2">
        <v>5397.72498166505</v>
      </c>
      <c r="K9" s="2">
        <v>297770.377292236</v>
      </c>
      <c r="L9" s="10">
        <f>C9*B9+2.86709999999925</f>
        <v>6008.36692378775</v>
      </c>
      <c r="M9" s="10">
        <f t="shared" si="6"/>
        <v>236.413354210563</v>
      </c>
      <c r="N9" s="4">
        <f t="shared" si="3"/>
        <v>4730.53964203932</v>
      </c>
      <c r="O9" s="4">
        <f t="shared" si="7"/>
        <v>235.920878516539</v>
      </c>
      <c r="P9" s="4">
        <f t="shared" si="4"/>
        <v>1277.82728174843</v>
      </c>
      <c r="Q9" s="4">
        <f t="shared" si="8"/>
        <v>0.492475694025416</v>
      </c>
      <c r="R9" s="4">
        <f t="shared" si="5"/>
        <v>22665.5001762122</v>
      </c>
      <c r="S9" s="4">
        <f t="shared" si="9"/>
        <v>14554.101033788</v>
      </c>
      <c r="T9" s="3">
        <v>10670</v>
      </c>
      <c r="U9" s="3">
        <v>10670</v>
      </c>
      <c r="V9" s="2">
        <v>52.13797</v>
      </c>
      <c r="W9" s="3">
        <v>58.70559</v>
      </c>
      <c r="X9" s="3">
        <v>39.93118</v>
      </c>
      <c r="Y9" s="3">
        <v>50.38404</v>
      </c>
      <c r="Z9" s="3">
        <v>82.53827</v>
      </c>
      <c r="AA9" s="3">
        <v>171.71053</v>
      </c>
      <c r="AB9" s="15">
        <f t="shared" si="11"/>
        <v>48549878192.0358</v>
      </c>
      <c r="AC9" s="15">
        <f t="shared" si="12"/>
        <v>16759933969.2389</v>
      </c>
      <c r="AD9" s="15">
        <f t="shared" si="13"/>
        <v>690415280045.193</v>
      </c>
      <c r="AE9" s="11">
        <f t="shared" si="10"/>
        <v>7.55725092206468</v>
      </c>
      <c r="AG9" s="1"/>
      <c r="AH9" s="1"/>
      <c r="AI9" s="1"/>
      <c r="AJ9" s="1"/>
      <c r="AL9" s="1"/>
      <c r="AM9" s="1"/>
      <c r="AN9" s="1"/>
      <c r="AO9" s="1"/>
    </row>
    <row r="10" spans="1:41">
      <c r="A10" s="2">
        <v>2026</v>
      </c>
      <c r="B10" s="2">
        <v>29267</v>
      </c>
      <c r="C10" s="7">
        <f t="shared" si="1"/>
        <v>0.226704534021912</v>
      </c>
      <c r="D10" s="8">
        <v>0.175460775773863</v>
      </c>
      <c r="E10" s="8">
        <v>0.0512437582480487</v>
      </c>
      <c r="F10" s="9">
        <v>0.773295465978088</v>
      </c>
      <c r="G10" s="2">
        <v>332813</v>
      </c>
      <c r="H10" s="4">
        <f t="shared" si="2"/>
        <v>28616.7302102575</v>
      </c>
      <c r="I10" s="2">
        <v>21719.2794863226</v>
      </c>
      <c r="J10" s="2">
        <v>6897.45072393496</v>
      </c>
      <c r="K10" s="2">
        <v>304197.063458072</v>
      </c>
      <c r="L10" s="10">
        <f>C10*B10</f>
        <v>6634.9615972193</v>
      </c>
      <c r="M10" s="10">
        <f t="shared" si="6"/>
        <v>296.662164200159</v>
      </c>
      <c r="N10" s="4">
        <f t="shared" si="3"/>
        <v>5135.21052457366</v>
      </c>
      <c r="O10" s="4">
        <f t="shared" si="7"/>
        <v>296.636833824425</v>
      </c>
      <c r="P10" s="4">
        <f t="shared" si="4"/>
        <v>1499.75107264564</v>
      </c>
      <c r="Q10" s="4">
        <f t="shared" si="8"/>
        <v>0.0253303757344838</v>
      </c>
      <c r="R10" s="4">
        <f t="shared" si="5"/>
        <v>22632.0384027807</v>
      </c>
      <c r="S10" s="4">
        <f t="shared" si="9"/>
        <v>16205.3522369444</v>
      </c>
      <c r="T10" s="3">
        <v>10790</v>
      </c>
      <c r="U10" s="3">
        <v>10790</v>
      </c>
      <c r="V10" s="2">
        <v>49.82293</v>
      </c>
      <c r="W10" s="3">
        <v>56.74484</v>
      </c>
      <c r="X10" s="3">
        <v>38.74838</v>
      </c>
      <c r="Y10" s="3">
        <v>35.76314</v>
      </c>
      <c r="Z10" s="3">
        <v>59.2859</v>
      </c>
      <c r="AA10" s="3">
        <v>167.2601</v>
      </c>
      <c r="AB10" s="15">
        <f t="shared" si="11"/>
        <v>49790650843.7324</v>
      </c>
      <c r="AC10" s="15">
        <f t="shared" si="12"/>
        <v>18186206126.3544</v>
      </c>
      <c r="AD10" s="15">
        <f t="shared" si="13"/>
        <v>690930675525.128</v>
      </c>
      <c r="AE10" s="11">
        <f t="shared" si="10"/>
        <v>7.58907532495215</v>
      </c>
      <c r="AG10" s="1"/>
      <c r="AH10" s="1"/>
      <c r="AI10" s="1"/>
      <c r="AJ10" s="1"/>
      <c r="AL10" s="1"/>
      <c r="AM10" s="1"/>
      <c r="AN10" s="1"/>
      <c r="AO10" s="1"/>
    </row>
    <row r="11" spans="1:41">
      <c r="A11" s="2">
        <v>2027</v>
      </c>
      <c r="B11" s="2">
        <v>29821</v>
      </c>
      <c r="C11" s="7">
        <f t="shared" si="1"/>
        <v>0.245642519234013</v>
      </c>
      <c r="D11" s="8">
        <v>0.186948865151382</v>
      </c>
      <c r="E11" s="8">
        <v>0.0586936540826313</v>
      </c>
      <c r="F11" s="9">
        <v>0.754357480765987</v>
      </c>
      <c r="G11" s="2">
        <v>344472</v>
      </c>
      <c r="H11" s="4">
        <f t="shared" si="2"/>
        <v>35569.8505367146</v>
      </c>
      <c r="I11" s="2">
        <v>26928.1597531463</v>
      </c>
      <c r="J11" s="2">
        <v>8641.69078356824</v>
      </c>
      <c r="K11" s="2">
        <v>308902.257462042</v>
      </c>
      <c r="L11" s="10">
        <f t="shared" si="0"/>
        <v>7325.30556607752</v>
      </c>
      <c r="M11" s="10">
        <f t="shared" si="6"/>
        <v>372.18523962047</v>
      </c>
      <c r="N11" s="4">
        <f t="shared" si="3"/>
        <v>5575.00210767937</v>
      </c>
      <c r="O11" s="4">
        <f t="shared" si="7"/>
        <v>366.121840855609</v>
      </c>
      <c r="P11" s="4">
        <f t="shared" si="4"/>
        <v>1750.30345839815</v>
      </c>
      <c r="Q11" s="4">
        <f t="shared" si="8"/>
        <v>6.06339876486527</v>
      </c>
      <c r="R11" s="4">
        <f t="shared" si="5"/>
        <v>22495.6944339225</v>
      </c>
      <c r="S11" s="4">
        <f t="shared" si="9"/>
        <v>17790.5004299529</v>
      </c>
      <c r="T11" s="3">
        <v>10940</v>
      </c>
      <c r="U11" s="3">
        <v>10940</v>
      </c>
      <c r="V11" s="2">
        <v>47.81287</v>
      </c>
      <c r="W11" s="3">
        <v>55.03459</v>
      </c>
      <c r="X11" s="3">
        <v>37.75928</v>
      </c>
      <c r="Y11" s="3">
        <v>30.01692</v>
      </c>
      <c r="Z11" s="3">
        <v>54.32707</v>
      </c>
      <c r="AA11" s="3">
        <v>163.64683</v>
      </c>
      <c r="AB11" s="15">
        <f t="shared" si="11"/>
        <v>52584785815.6793</v>
      </c>
      <c r="AC11" s="15">
        <f t="shared" si="12"/>
        <v>20943385446.4017</v>
      </c>
      <c r="AD11" s="15">
        <f t="shared" si="13"/>
        <v>692416597845.946</v>
      </c>
      <c r="AE11" s="11">
        <f t="shared" si="10"/>
        <v>7.65944769108027</v>
      </c>
      <c r="AG11" s="1"/>
      <c r="AH11" s="1"/>
      <c r="AI11" s="1"/>
      <c r="AJ11" s="1"/>
      <c r="AL11" s="1"/>
      <c r="AM11" s="1"/>
      <c r="AN11" s="1"/>
      <c r="AO11" s="1"/>
    </row>
    <row r="12" spans="1:41">
      <c r="A12" s="2">
        <v>2028</v>
      </c>
      <c r="B12" s="2">
        <v>30337</v>
      </c>
      <c r="C12" s="7">
        <f t="shared" si="1"/>
        <v>0.266837869996607</v>
      </c>
      <c r="D12" s="8">
        <v>0.196592723750158</v>
      </c>
      <c r="E12" s="8">
        <v>0.0702451462464487</v>
      </c>
      <c r="F12" s="9">
        <v>0.733162130003393</v>
      </c>
      <c r="G12" s="2">
        <v>355083</v>
      </c>
      <c r="H12" s="4">
        <f t="shared" si="2"/>
        <v>43186.7966272484</v>
      </c>
      <c r="I12" s="2">
        <v>32429.9416267001</v>
      </c>
      <c r="J12" s="2">
        <v>10756.8550005483</v>
      </c>
      <c r="K12" s="2">
        <v>311896.164483548</v>
      </c>
      <c r="L12" s="10">
        <f t="shared" si="0"/>
        <v>8095.06046208706</v>
      </c>
      <c r="M12" s="10">
        <f t="shared" si="6"/>
        <v>478.114371553238</v>
      </c>
      <c r="N12" s="4">
        <f t="shared" si="3"/>
        <v>5964.03346040854</v>
      </c>
      <c r="O12" s="4">
        <f t="shared" si="7"/>
        <v>462.251586854793</v>
      </c>
      <c r="P12" s="4">
        <f t="shared" si="4"/>
        <v>2131.02700167852</v>
      </c>
      <c r="Q12" s="4">
        <f t="shared" si="8"/>
        <v>15.8627846984309</v>
      </c>
      <c r="R12" s="4">
        <f t="shared" si="5"/>
        <v>22241.9395379129</v>
      </c>
      <c r="S12" s="4">
        <f t="shared" si="9"/>
        <v>19248.0325164067</v>
      </c>
      <c r="T12" s="3">
        <v>11100</v>
      </c>
      <c r="U12" s="3">
        <v>11100</v>
      </c>
      <c r="V12" s="2">
        <v>46.10778</v>
      </c>
      <c r="W12" s="3">
        <v>53.49383</v>
      </c>
      <c r="X12" s="3">
        <v>36.8505</v>
      </c>
      <c r="Y12" s="3">
        <v>26.59559</v>
      </c>
      <c r="Z12" s="3">
        <v>51.05343</v>
      </c>
      <c r="AA12" s="3">
        <v>160.69706</v>
      </c>
      <c r="AB12" s="15">
        <f t="shared" si="11"/>
        <v>55359236147.0353</v>
      </c>
      <c r="AC12" s="15">
        <f t="shared" si="12"/>
        <v>25076301775.584</v>
      </c>
      <c r="AD12" s="15">
        <f t="shared" si="13"/>
        <v>692808670626.207</v>
      </c>
      <c r="AE12" s="11">
        <f t="shared" si="10"/>
        <v>7.73244208548826</v>
      </c>
      <c r="AG12" s="1"/>
      <c r="AH12" s="1"/>
      <c r="AI12" s="1"/>
      <c r="AJ12" s="1"/>
      <c r="AL12" s="1"/>
      <c r="AM12" s="1"/>
      <c r="AN12" s="1"/>
      <c r="AO12" s="1"/>
    </row>
    <row r="13" spans="1:41">
      <c r="A13" s="2">
        <v>2029</v>
      </c>
      <c r="B13" s="2">
        <v>30767</v>
      </c>
      <c r="C13" s="7">
        <f t="shared" si="1"/>
        <v>0.290225747149396</v>
      </c>
      <c r="D13" s="8">
        <v>0.207531450925898</v>
      </c>
      <c r="E13" s="8">
        <v>0.0826942962234978</v>
      </c>
      <c r="F13" s="9">
        <v>0.709774252850604</v>
      </c>
      <c r="G13" s="2">
        <v>364714</v>
      </c>
      <c r="H13" s="4">
        <f t="shared" si="2"/>
        <v>51490.7117876278</v>
      </c>
      <c r="I13" s="2">
        <v>38222.9426280635</v>
      </c>
      <c r="J13" s="2">
        <v>13267.7691595642</v>
      </c>
      <c r="K13" s="2">
        <v>313224.082259062</v>
      </c>
      <c r="L13" s="10">
        <f t="shared" si="0"/>
        <v>8929.37556254546</v>
      </c>
      <c r="M13" s="10">
        <f t="shared" si="6"/>
        <v>625.460402166056</v>
      </c>
      <c r="N13" s="4">
        <f t="shared" si="3"/>
        <v>6385.1201506371</v>
      </c>
      <c r="O13" s="4">
        <f t="shared" si="7"/>
        <v>592.119149273611</v>
      </c>
      <c r="P13" s="4">
        <f t="shared" si="4"/>
        <v>2544.25541190836</v>
      </c>
      <c r="Q13" s="4">
        <f t="shared" si="8"/>
        <v>33.3412528924491</v>
      </c>
      <c r="R13" s="4">
        <f t="shared" si="5"/>
        <v>21837.6244374545</v>
      </c>
      <c r="S13" s="4">
        <f t="shared" si="9"/>
        <v>20509.7066619407</v>
      </c>
      <c r="T13" s="3">
        <v>11270</v>
      </c>
      <c r="U13" s="3">
        <v>11270</v>
      </c>
      <c r="V13" s="2">
        <v>44.64271</v>
      </c>
      <c r="W13" s="3">
        <v>52.04855</v>
      </c>
      <c r="X13" s="3">
        <v>35.9672</v>
      </c>
      <c r="Y13" s="3">
        <v>24.08977</v>
      </c>
      <c r="Z13" s="3">
        <v>48.66672</v>
      </c>
      <c r="AA13" s="3">
        <v>158.22849</v>
      </c>
      <c r="AB13" s="15">
        <f t="shared" si="11"/>
        <v>58564756785.2249</v>
      </c>
      <c r="AC13" s="15">
        <f t="shared" si="12"/>
        <v>29663438840.2007</v>
      </c>
      <c r="AD13" s="15">
        <f t="shared" si="13"/>
        <v>691330500773.556</v>
      </c>
      <c r="AE13" s="11">
        <f t="shared" si="10"/>
        <v>7.79558696398981</v>
      </c>
      <c r="AG13" s="1"/>
      <c r="AH13" s="1"/>
      <c r="AI13" s="1"/>
      <c r="AJ13" s="1"/>
      <c r="AL13" s="1"/>
      <c r="AM13" s="1"/>
      <c r="AN13" s="1"/>
      <c r="AO13" s="1"/>
    </row>
    <row r="14" spans="1:41">
      <c r="A14" s="2">
        <v>2030</v>
      </c>
      <c r="B14" s="2">
        <v>31057</v>
      </c>
      <c r="C14" s="7">
        <f t="shared" si="1"/>
        <v>0.319517234323311</v>
      </c>
      <c r="D14" s="8">
        <v>0.225845567788596</v>
      </c>
      <c r="E14" s="8">
        <v>0.0936716665347149</v>
      </c>
      <c r="F14" s="9">
        <v>0.680482765676689</v>
      </c>
      <c r="G14" s="2">
        <v>373443</v>
      </c>
      <c r="H14" s="4">
        <f t="shared" si="2"/>
        <v>60592.0177566786</v>
      </c>
      <c r="I14" s="2">
        <v>44478.7183957898</v>
      </c>
      <c r="J14" s="2">
        <v>16113.2993608888</v>
      </c>
      <c r="K14" s="2">
        <v>312850.810593583</v>
      </c>
      <c r="L14" s="10">
        <f t="shared" si="0"/>
        <v>9923.24674637907</v>
      </c>
      <c r="M14" s="10">
        <f t="shared" si="6"/>
        <v>821.940777328295</v>
      </c>
      <c r="N14" s="4">
        <f t="shared" si="3"/>
        <v>7014.08579881043</v>
      </c>
      <c r="O14" s="4">
        <f t="shared" si="7"/>
        <v>758.310031084213</v>
      </c>
      <c r="P14" s="4">
        <f t="shared" si="4"/>
        <v>2909.16094756864</v>
      </c>
      <c r="Q14" s="4">
        <f t="shared" si="8"/>
        <v>63.6307462440818</v>
      </c>
      <c r="R14" s="4">
        <f t="shared" si="5"/>
        <v>21133.7532536209</v>
      </c>
      <c r="S14" s="4">
        <f t="shared" si="9"/>
        <v>21507.0249190999</v>
      </c>
      <c r="T14" s="3">
        <v>11440</v>
      </c>
      <c r="U14" s="3">
        <v>11440</v>
      </c>
      <c r="V14" s="2">
        <v>43.35601</v>
      </c>
      <c r="W14" s="3">
        <v>50.69424</v>
      </c>
      <c r="X14" s="3">
        <v>35.14148</v>
      </c>
      <c r="Y14" s="3">
        <v>22.09576</v>
      </c>
      <c r="Z14" s="3">
        <v>46.57791</v>
      </c>
      <c r="AA14" s="3">
        <v>156.14353</v>
      </c>
      <c r="AB14" s="15">
        <f t="shared" si="11"/>
        <v>63427166057.0228</v>
      </c>
      <c r="AC14" s="15">
        <f t="shared" si="12"/>
        <v>33893166238.9848</v>
      </c>
      <c r="AD14" s="15">
        <f t="shared" si="13"/>
        <v>686282173019.292</v>
      </c>
      <c r="AE14" s="11">
        <f t="shared" si="10"/>
        <v>7.836025053153</v>
      </c>
      <c r="AG14" s="1"/>
      <c r="AH14" s="1"/>
      <c r="AI14" s="1"/>
      <c r="AJ14" s="1"/>
      <c r="AL14" s="1"/>
      <c r="AM14" s="1"/>
      <c r="AN14" s="1"/>
      <c r="AO14" s="1"/>
    </row>
    <row r="15" spans="1:41">
      <c r="A15" s="2">
        <v>2031</v>
      </c>
      <c r="B15" s="2">
        <v>31116</v>
      </c>
      <c r="C15" s="7">
        <f t="shared" si="1"/>
        <v>0.317245734230146</v>
      </c>
      <c r="D15" s="8">
        <v>0.230191643657115</v>
      </c>
      <c r="E15" s="8">
        <v>0.0870540905730316</v>
      </c>
      <c r="F15" s="9">
        <v>0.682754265769854</v>
      </c>
      <c r="G15" s="2">
        <v>381268</v>
      </c>
      <c r="H15" s="4">
        <f t="shared" si="2"/>
        <v>69389.8780899168</v>
      </c>
      <c r="I15" s="2">
        <v>50698.9260064622</v>
      </c>
      <c r="J15" s="2">
        <v>18690.9520834546</v>
      </c>
      <c r="K15" s="2">
        <v>311878.533692855</v>
      </c>
      <c r="L15" s="10">
        <f t="shared" si="0"/>
        <v>9871.41826630524</v>
      </c>
      <c r="M15" s="10">
        <f t="shared" si="6"/>
        <v>1073.55793306702</v>
      </c>
      <c r="N15" s="4">
        <f t="shared" si="3"/>
        <v>7162.64318403479</v>
      </c>
      <c r="O15" s="4">
        <f t="shared" si="7"/>
        <v>942.435573362338</v>
      </c>
      <c r="P15" s="4">
        <f t="shared" si="4"/>
        <v>2708.77508227045</v>
      </c>
      <c r="Q15" s="4">
        <f t="shared" si="8"/>
        <v>131.122359704681</v>
      </c>
      <c r="R15" s="4">
        <f t="shared" si="5"/>
        <v>21244.5817336948</v>
      </c>
      <c r="S15" s="4">
        <f t="shared" si="9"/>
        <v>22216.858634423</v>
      </c>
      <c r="T15" s="3">
        <v>11620</v>
      </c>
      <c r="U15" s="3">
        <v>11620</v>
      </c>
      <c r="V15" s="2">
        <v>42.23781</v>
      </c>
      <c r="W15" s="3">
        <v>49.36391</v>
      </c>
      <c r="X15" s="3">
        <v>34.32447</v>
      </c>
      <c r="Y15" s="3">
        <v>20.49506</v>
      </c>
      <c r="Z15" s="3">
        <v>44.96585</v>
      </c>
      <c r="AA15" s="3">
        <v>154.34747</v>
      </c>
      <c r="AB15" s="15">
        <f t="shared" si="11"/>
        <v>64805820183.7409</v>
      </c>
      <c r="AC15" s="15">
        <f t="shared" si="12"/>
        <v>33072733474.202</v>
      </c>
      <c r="AD15" s="15">
        <f t="shared" si="13"/>
        <v>686460769837.724</v>
      </c>
      <c r="AE15" s="11">
        <f t="shared" si="10"/>
        <v>7.84339323495667</v>
      </c>
      <c r="AG15" s="1"/>
      <c r="AH15" s="1"/>
      <c r="AI15" s="1"/>
      <c r="AJ15" s="1"/>
      <c r="AL15" s="1"/>
      <c r="AM15" s="1"/>
      <c r="AN15" s="1"/>
      <c r="AO15" s="1"/>
    </row>
    <row r="16" spans="1:41">
      <c r="A16" s="2">
        <v>2032</v>
      </c>
      <c r="B16" s="2">
        <v>31274</v>
      </c>
      <c r="C16" s="7">
        <f t="shared" si="1"/>
        <v>0.316312239196366</v>
      </c>
      <c r="D16" s="8">
        <v>0.239768601348979</v>
      </c>
      <c r="E16" s="8">
        <v>0.0765436378473863</v>
      </c>
      <c r="F16" s="9">
        <v>0.683687760803634</v>
      </c>
      <c r="G16" s="2">
        <v>388489</v>
      </c>
      <c r="H16" s="4">
        <f t="shared" si="2"/>
        <v>77903.8683247155</v>
      </c>
      <c r="I16" s="2">
        <v>57040.6383857745</v>
      </c>
      <c r="J16" s="2">
        <v>20863.229938941</v>
      </c>
      <c r="K16" s="2">
        <v>310585.41303932</v>
      </c>
      <c r="L16" s="10">
        <f t="shared" si="0"/>
        <v>9892.34896862714</v>
      </c>
      <c r="M16" s="10">
        <f t="shared" si="6"/>
        <v>1378.35873382838</v>
      </c>
      <c r="N16" s="4">
        <f t="shared" si="3"/>
        <v>7498.52323858798</v>
      </c>
      <c r="O16" s="4">
        <f t="shared" si="7"/>
        <v>1156.81085927568</v>
      </c>
      <c r="P16" s="4">
        <f t="shared" si="4"/>
        <v>2393.82573003916</v>
      </c>
      <c r="Q16" s="4">
        <f t="shared" si="8"/>
        <v>221.547874552703</v>
      </c>
      <c r="R16" s="4">
        <f t="shared" si="5"/>
        <v>21381.6510313729</v>
      </c>
      <c r="S16" s="4">
        <f t="shared" si="9"/>
        <v>22674.7716849082</v>
      </c>
      <c r="T16" s="3">
        <v>11780</v>
      </c>
      <c r="U16" s="3">
        <v>11780</v>
      </c>
      <c r="V16" s="2">
        <v>41.22378</v>
      </c>
      <c r="W16" s="3">
        <v>48.1185</v>
      </c>
      <c r="X16" s="3">
        <v>33.51516</v>
      </c>
      <c r="Y16" s="3">
        <v>19.10469</v>
      </c>
      <c r="Z16" s="3">
        <v>43.50043</v>
      </c>
      <c r="AA16" s="3">
        <v>152.75024</v>
      </c>
      <c r="AB16" s="15">
        <f t="shared" si="11"/>
        <v>67458238305.728</v>
      </c>
      <c r="AC16" s="15">
        <f t="shared" si="12"/>
        <v>31044647107.3866</v>
      </c>
      <c r="AD16" s="15">
        <f t="shared" si="13"/>
        <v>685491608148.723</v>
      </c>
      <c r="AE16" s="11">
        <f t="shared" si="10"/>
        <v>7.83994493561838</v>
      </c>
      <c r="AG16" s="1"/>
      <c r="AH16" s="1"/>
      <c r="AI16" s="1"/>
      <c r="AJ16" s="1"/>
      <c r="AL16" s="1"/>
      <c r="AM16" s="1"/>
      <c r="AN16" s="1"/>
      <c r="AO16" s="1"/>
    </row>
    <row r="17" spans="1:41">
      <c r="A17" s="2">
        <v>2033</v>
      </c>
      <c r="B17" s="2">
        <v>31474</v>
      </c>
      <c r="C17" s="7">
        <f t="shared" si="1"/>
        <v>0.316550164311839</v>
      </c>
      <c r="D17" s="8">
        <v>0.242591323810351</v>
      </c>
      <c r="E17" s="8">
        <v>0.0739588405014883</v>
      </c>
      <c r="F17" s="9">
        <v>0.683449835688161</v>
      </c>
      <c r="G17" s="2">
        <v>395263</v>
      </c>
      <c r="H17" s="4">
        <f t="shared" si="2"/>
        <v>86123.8370774815</v>
      </c>
      <c r="I17" s="2">
        <v>63251.0217180025</v>
      </c>
      <c r="J17" s="2">
        <v>22872.815359479</v>
      </c>
      <c r="K17" s="2">
        <v>309139.712660884</v>
      </c>
      <c r="L17" s="10">
        <f t="shared" si="0"/>
        <v>9963.09987155082</v>
      </c>
      <c r="M17" s="10">
        <f t="shared" si="6"/>
        <v>1743.13111878482</v>
      </c>
      <c r="N17" s="4">
        <f t="shared" si="3"/>
        <v>7635.31932560698</v>
      </c>
      <c r="O17" s="4">
        <f t="shared" si="7"/>
        <v>1424.93599337899</v>
      </c>
      <c r="P17" s="4">
        <f t="shared" si="4"/>
        <v>2327.78054594384</v>
      </c>
      <c r="Q17" s="4">
        <f t="shared" si="8"/>
        <v>318.195125405826</v>
      </c>
      <c r="R17" s="4">
        <f t="shared" si="5"/>
        <v>21510.9001284492</v>
      </c>
      <c r="S17" s="4">
        <f t="shared" si="9"/>
        <v>22956.6005068843</v>
      </c>
      <c r="T17" s="3">
        <v>11940</v>
      </c>
      <c r="U17" s="3">
        <v>11940</v>
      </c>
      <c r="V17" s="2">
        <v>40.30177</v>
      </c>
      <c r="W17" s="3">
        <v>46.8934</v>
      </c>
      <c r="X17" s="3">
        <v>32.71389</v>
      </c>
      <c r="Y17" s="3">
        <v>17.8373</v>
      </c>
      <c r="Z17" s="3">
        <v>42.1705</v>
      </c>
      <c r="AA17" s="3">
        <v>151.26901</v>
      </c>
      <c r="AB17" s="15">
        <f t="shared" si="11"/>
        <v>68583129554.9916</v>
      </c>
      <c r="AC17" s="15">
        <f t="shared" si="12"/>
        <v>31066939413.5374</v>
      </c>
      <c r="AD17" s="15">
        <f t="shared" si="13"/>
        <v>684386908943.614</v>
      </c>
      <c r="AE17" s="11">
        <f t="shared" si="10"/>
        <v>7.84036977912143</v>
      </c>
      <c r="AG17" s="1"/>
      <c r="AH17" s="1"/>
      <c r="AI17" s="1"/>
      <c r="AJ17" s="1"/>
      <c r="AL17" s="1"/>
      <c r="AM17" s="1"/>
      <c r="AN17" s="1"/>
      <c r="AO17" s="1"/>
    </row>
    <row r="18" spans="1:41">
      <c r="A18" s="2">
        <v>2034</v>
      </c>
      <c r="B18" s="2">
        <v>31657</v>
      </c>
      <c r="C18" s="7">
        <f t="shared" si="1"/>
        <v>0.317654298463266</v>
      </c>
      <c r="D18" s="8">
        <v>0.250406521756049</v>
      </c>
      <c r="E18" s="8">
        <v>0.0672477767072169</v>
      </c>
      <c r="F18" s="9">
        <v>0.682345701536734</v>
      </c>
      <c r="G18" s="2">
        <v>401608</v>
      </c>
      <c r="H18" s="4">
        <f t="shared" si="2"/>
        <v>93985.8564678595</v>
      </c>
      <c r="I18" s="2">
        <v>69423.0106726824</v>
      </c>
      <c r="J18" s="2">
        <v>24562.8457951771</v>
      </c>
      <c r="K18" s="2">
        <v>307622.509156122</v>
      </c>
      <c r="L18" s="10">
        <f t="shared" si="0"/>
        <v>10055.9821264516</v>
      </c>
      <c r="M18" s="10">
        <f t="shared" si="6"/>
        <v>2193.96273607369</v>
      </c>
      <c r="N18" s="4">
        <f t="shared" si="3"/>
        <v>7927.11925923125</v>
      </c>
      <c r="O18" s="4">
        <f t="shared" si="7"/>
        <v>1755.13030455135</v>
      </c>
      <c r="P18" s="4">
        <f t="shared" si="4"/>
        <v>2128.86286722036</v>
      </c>
      <c r="Q18" s="4">
        <f t="shared" si="8"/>
        <v>438.832431522347</v>
      </c>
      <c r="R18" s="4">
        <f t="shared" si="5"/>
        <v>21601.0178735484</v>
      </c>
      <c r="S18" s="4">
        <f t="shared" si="9"/>
        <v>23118.2213783107</v>
      </c>
      <c r="T18" s="3">
        <v>12100</v>
      </c>
      <c r="U18" s="3">
        <v>12100</v>
      </c>
      <c r="V18" s="2">
        <v>39.42017</v>
      </c>
      <c r="W18" s="3">
        <v>45.7477</v>
      </c>
      <c r="X18" s="3">
        <v>31.9604</v>
      </c>
      <c r="Y18" s="3">
        <v>16.68671</v>
      </c>
      <c r="Z18" s="3">
        <v>40.96639</v>
      </c>
      <c r="AA18" s="3">
        <v>149.8997</v>
      </c>
      <c r="AB18" s="15">
        <f t="shared" si="11"/>
        <v>70733786490.57</v>
      </c>
      <c r="AC18" s="15">
        <f t="shared" si="12"/>
        <v>29852028788.3153</v>
      </c>
      <c r="AD18" s="15">
        <f t="shared" si="13"/>
        <v>683264970866.279</v>
      </c>
      <c r="AE18" s="11">
        <f t="shared" si="10"/>
        <v>7.83850786145165</v>
      </c>
      <c r="AG18" s="1"/>
      <c r="AH18" s="1"/>
      <c r="AI18" s="1"/>
      <c r="AJ18" s="1"/>
      <c r="AL18" s="1"/>
      <c r="AM18" s="1"/>
      <c r="AN18" s="1"/>
      <c r="AO18" s="1"/>
    </row>
    <row r="19" spans="1:41">
      <c r="A19" s="2">
        <v>2035</v>
      </c>
      <c r="B19" s="2">
        <v>31591</v>
      </c>
      <c r="C19" s="7">
        <f t="shared" si="1"/>
        <v>0.318632223552804</v>
      </c>
      <c r="D19" s="8">
        <v>0.257533354958395</v>
      </c>
      <c r="E19" s="8">
        <v>0.0610988685944089</v>
      </c>
      <c r="F19" s="9">
        <v>0.681367776447196</v>
      </c>
      <c r="G19" s="2">
        <v>407260</v>
      </c>
      <c r="H19" s="4">
        <f t="shared" si="2"/>
        <v>101307.497986155</v>
      </c>
      <c r="I19" s="2">
        <v>75393.969747526</v>
      </c>
      <c r="J19" s="2">
        <v>25913.5282386288</v>
      </c>
      <c r="K19" s="2">
        <v>305953.427966065</v>
      </c>
      <c r="L19" s="10">
        <f t="shared" si="0"/>
        <v>10065.9105742566</v>
      </c>
      <c r="M19" s="10">
        <f t="shared" si="6"/>
        <v>2744.26905596128</v>
      </c>
      <c r="N19" s="4">
        <f t="shared" si="3"/>
        <v>8135.73621649064</v>
      </c>
      <c r="O19" s="4">
        <f t="shared" si="7"/>
        <v>2164.77714164702</v>
      </c>
      <c r="P19" s="4">
        <f t="shared" si="4"/>
        <v>1930.17435776597</v>
      </c>
      <c r="Q19" s="4">
        <f t="shared" si="8"/>
        <v>579.491914314243</v>
      </c>
      <c r="R19" s="4">
        <f t="shared" si="5"/>
        <v>21525.0894257434</v>
      </c>
      <c r="S19" s="4">
        <f t="shared" si="9"/>
        <v>23194.1706158004</v>
      </c>
      <c r="T19" s="3">
        <v>12250</v>
      </c>
      <c r="U19" s="3">
        <v>12250</v>
      </c>
      <c r="V19" s="2">
        <v>38.65368</v>
      </c>
      <c r="W19" s="3">
        <v>44.61906</v>
      </c>
      <c r="X19" s="3">
        <v>31.17569</v>
      </c>
      <c r="Y19" s="3">
        <v>15.6466</v>
      </c>
      <c r="Z19" s="3">
        <v>39.87978</v>
      </c>
      <c r="AA19" s="3">
        <v>148.70716</v>
      </c>
      <c r="AB19" s="15">
        <f t="shared" si="11"/>
        <v>72235817777.2152</v>
      </c>
      <c r="AC19" s="15">
        <f t="shared" si="12"/>
        <v>28484487520.3391</v>
      </c>
      <c r="AD19" s="15">
        <f t="shared" si="13"/>
        <v>680651136632.965</v>
      </c>
      <c r="AE19" s="11">
        <f t="shared" si="10"/>
        <v>7.81371441930519</v>
      </c>
      <c r="AG19" s="1"/>
      <c r="AH19" s="1"/>
      <c r="AI19" s="1"/>
      <c r="AJ19" s="1"/>
      <c r="AL19" s="1"/>
      <c r="AM19" s="1"/>
      <c r="AN19" s="1"/>
      <c r="AO19" s="1"/>
    </row>
    <row r="20" spans="1:41">
      <c r="A20" s="2">
        <v>2036</v>
      </c>
      <c r="B20" s="2">
        <v>31484</v>
      </c>
      <c r="C20" s="7">
        <f t="shared" si="1"/>
        <v>0.317851862165086</v>
      </c>
      <c r="D20" s="8">
        <v>0.25945298034334</v>
      </c>
      <c r="E20" s="8">
        <v>0.0583988818217463</v>
      </c>
      <c r="F20" s="9">
        <v>0.682148137834914</v>
      </c>
      <c r="G20" s="2">
        <v>412157</v>
      </c>
      <c r="H20" s="4">
        <f t="shared" si="2"/>
        <v>107948.745657663</v>
      </c>
      <c r="I20" s="2">
        <v>80932.8211950315</v>
      </c>
      <c r="J20" s="2">
        <v>27015.9244626316</v>
      </c>
      <c r="K20" s="2">
        <v>304209.300002787</v>
      </c>
      <c r="L20" s="10">
        <f t="shared" si="0"/>
        <v>10007.2480284056</v>
      </c>
      <c r="M20" s="10">
        <f t="shared" si="6"/>
        <v>3366.00035689723</v>
      </c>
      <c r="N20" s="4">
        <f t="shared" si="3"/>
        <v>8168.61763312971</v>
      </c>
      <c r="O20" s="4">
        <f t="shared" si="7"/>
        <v>2629.7661856242</v>
      </c>
      <c r="P20" s="4">
        <f t="shared" si="4"/>
        <v>1838.63039527586</v>
      </c>
      <c r="Q20" s="4">
        <f t="shared" si="8"/>
        <v>736.23417127303</v>
      </c>
      <c r="R20" s="4">
        <f t="shared" si="5"/>
        <v>21476.7519715944</v>
      </c>
      <c r="S20" s="4">
        <f t="shared" si="9"/>
        <v>23220.8799348724</v>
      </c>
      <c r="T20" s="3">
        <v>12400</v>
      </c>
      <c r="U20" s="3">
        <v>12400</v>
      </c>
      <c r="V20" s="2">
        <v>37.91339</v>
      </c>
      <c r="W20" s="3">
        <v>43.50685</v>
      </c>
      <c r="X20" s="3">
        <v>30.39993</v>
      </c>
      <c r="Y20" s="3">
        <v>14.71063</v>
      </c>
      <c r="Z20" s="3">
        <v>38.72802</v>
      </c>
      <c r="AA20" s="3">
        <v>147.54668</v>
      </c>
      <c r="AB20" s="15">
        <f t="shared" si="11"/>
        <v>72367299976.4023</v>
      </c>
      <c r="AC20" s="15">
        <f t="shared" si="12"/>
        <v>27852489587.214</v>
      </c>
      <c r="AD20" s="15">
        <f t="shared" si="13"/>
        <v>678012762503.51</v>
      </c>
      <c r="AE20" s="11">
        <f t="shared" si="10"/>
        <v>7.78232552067126</v>
      </c>
      <c r="AG20" s="1"/>
      <c r="AH20" s="1"/>
      <c r="AI20" s="1"/>
      <c r="AJ20" s="1"/>
      <c r="AL20" s="1"/>
      <c r="AM20" s="1"/>
      <c r="AN20" s="1"/>
      <c r="AO20" s="1"/>
    </row>
    <row r="21" spans="1:41">
      <c r="A21" s="2">
        <v>2037</v>
      </c>
      <c r="B21" s="2">
        <v>31388</v>
      </c>
      <c r="C21" s="7">
        <f t="shared" si="1"/>
        <v>0.317843532193353</v>
      </c>
      <c r="D21" s="8">
        <v>0.262208314768073</v>
      </c>
      <c r="E21" s="8">
        <v>0.0556352174252805</v>
      </c>
      <c r="F21" s="9">
        <v>0.682156467806647</v>
      </c>
      <c r="G21" s="2">
        <v>416303</v>
      </c>
      <c r="H21" s="4">
        <f t="shared" si="2"/>
        <v>113857.64656633</v>
      </c>
      <c r="I21" s="2">
        <v>86011.3440448509</v>
      </c>
      <c r="J21" s="2">
        <v>27846.3025214793</v>
      </c>
      <c r="K21" s="2">
        <v>302445.086558066</v>
      </c>
      <c r="L21" s="10">
        <f t="shared" si="0"/>
        <v>9976.47278848498</v>
      </c>
      <c r="M21" s="10">
        <f t="shared" si="6"/>
        <v>4067.57187981789</v>
      </c>
      <c r="N21" s="4">
        <f t="shared" si="3"/>
        <v>8230.19458394027</v>
      </c>
      <c r="O21" s="4">
        <f t="shared" si="7"/>
        <v>3151.67173412092</v>
      </c>
      <c r="P21" s="4">
        <f t="shared" si="4"/>
        <v>1746.2782045447</v>
      </c>
      <c r="Q21" s="4">
        <f t="shared" si="8"/>
        <v>915.900145696971</v>
      </c>
      <c r="R21" s="4">
        <f t="shared" si="5"/>
        <v>21411.527211515</v>
      </c>
      <c r="S21" s="4">
        <f t="shared" si="9"/>
        <v>23175.7406562357</v>
      </c>
      <c r="T21" s="3">
        <v>12540</v>
      </c>
      <c r="U21" s="3">
        <v>12540</v>
      </c>
      <c r="V21" s="2">
        <v>37.23329</v>
      </c>
      <c r="W21" s="3">
        <v>42.46779</v>
      </c>
      <c r="X21" s="3">
        <v>29.63345</v>
      </c>
      <c r="Y21" s="3">
        <v>13.87251</v>
      </c>
      <c r="Z21" s="3">
        <v>37.77292</v>
      </c>
      <c r="AA21" s="3">
        <v>146.48479</v>
      </c>
      <c r="AB21" s="15">
        <f t="shared" si="11"/>
        <v>72603484510.7327</v>
      </c>
      <c r="AC21" s="15">
        <f t="shared" si="12"/>
        <v>27139629773.4704</v>
      </c>
      <c r="AD21" s="15">
        <f t="shared" si="13"/>
        <v>674916171485.783</v>
      </c>
      <c r="AE21" s="11">
        <f t="shared" si="10"/>
        <v>7.74659285769986</v>
      </c>
      <c r="AG21" s="1"/>
      <c r="AH21" s="1"/>
      <c r="AI21" s="1"/>
      <c r="AJ21" s="1"/>
      <c r="AL21" s="1"/>
      <c r="AM21" s="1"/>
      <c r="AN21" s="1"/>
      <c r="AO21" s="1"/>
    </row>
    <row r="22" spans="1:41">
      <c r="A22" s="2">
        <v>2038</v>
      </c>
      <c r="B22" s="2">
        <v>31354</v>
      </c>
      <c r="C22" s="7">
        <f t="shared" si="1"/>
        <v>0.326731731264237</v>
      </c>
      <c r="D22" s="8">
        <v>0.267911710400075</v>
      </c>
      <c r="E22" s="8">
        <v>0.0588200208641614</v>
      </c>
      <c r="F22" s="9">
        <v>0.673268268735763</v>
      </c>
      <c r="G22" s="2">
        <v>419771</v>
      </c>
      <c r="H22" s="4">
        <f t="shared" si="2"/>
        <v>119281.408698359</v>
      </c>
      <c r="I22" s="2">
        <v>90699.0433046017</v>
      </c>
      <c r="J22" s="2">
        <v>28582.3653937573</v>
      </c>
      <c r="K22" s="2">
        <v>300489.858800894</v>
      </c>
      <c r="L22" s="10">
        <f t="shared" si="0"/>
        <v>10244.3467020589</v>
      </c>
      <c r="M22" s="10">
        <f t="shared" si="6"/>
        <v>4820.58457003007</v>
      </c>
      <c r="N22" s="4">
        <f t="shared" si="3"/>
        <v>8400.10376788396</v>
      </c>
      <c r="O22" s="4">
        <f t="shared" si="7"/>
        <v>3712.40450813313</v>
      </c>
      <c r="P22" s="4">
        <f t="shared" si="4"/>
        <v>1844.24293417492</v>
      </c>
      <c r="Q22" s="4">
        <f t="shared" si="8"/>
        <v>1108.18006189694</v>
      </c>
      <c r="R22" s="4">
        <f t="shared" si="5"/>
        <v>21109.6532979411</v>
      </c>
      <c r="S22" s="4">
        <f t="shared" si="9"/>
        <v>23064.8810551133</v>
      </c>
      <c r="T22" s="3">
        <v>12700</v>
      </c>
      <c r="U22" s="3">
        <v>12700</v>
      </c>
      <c r="V22" s="2">
        <v>36.53469</v>
      </c>
      <c r="W22" s="3">
        <v>41.44239</v>
      </c>
      <c r="X22" s="3">
        <v>28.91416</v>
      </c>
      <c r="Y22" s="3">
        <v>13.06506</v>
      </c>
      <c r="Z22" s="3">
        <v>36.83458</v>
      </c>
      <c r="AA22" s="3">
        <v>145.45331</v>
      </c>
      <c r="AB22" s="15">
        <f t="shared" si="11"/>
        <v>73512886370.2922</v>
      </c>
      <c r="AC22" s="15">
        <f t="shared" si="12"/>
        <v>27930690248.2094</v>
      </c>
      <c r="AD22" s="15">
        <f t="shared" si="13"/>
        <v>671357089833.816</v>
      </c>
      <c r="AE22" s="11">
        <f t="shared" si="10"/>
        <v>7.72800666452318</v>
      </c>
      <c r="AG22" s="1"/>
      <c r="AH22" s="1"/>
      <c r="AI22" s="1"/>
      <c r="AJ22" s="1"/>
      <c r="AL22" s="1"/>
      <c r="AM22" s="1"/>
      <c r="AN22" s="1"/>
      <c r="AO22" s="1"/>
    </row>
    <row r="23" spans="1:41">
      <c r="A23" s="2">
        <v>2039</v>
      </c>
      <c r="B23" s="2">
        <v>31390</v>
      </c>
      <c r="C23" s="7">
        <f t="shared" si="1"/>
        <v>0.356712645503289</v>
      </c>
      <c r="D23" s="8">
        <v>0.296357915905703</v>
      </c>
      <c r="E23" s="8">
        <v>0.0603547295975854</v>
      </c>
      <c r="F23" s="9">
        <v>0.643287354496711</v>
      </c>
      <c r="G23" s="2">
        <v>422668</v>
      </c>
      <c r="H23" s="4">
        <f t="shared" si="2"/>
        <v>124839.995464472</v>
      </c>
      <c r="I23" s="2">
        <v>95681.1336603316</v>
      </c>
      <c r="J23" s="2">
        <v>29158.8618041403</v>
      </c>
      <c r="K23" s="2">
        <v>297827.704529606</v>
      </c>
      <c r="L23" s="10">
        <f t="shared" si="0"/>
        <v>11197.2099423482</v>
      </c>
      <c r="M23" s="10">
        <f t="shared" si="6"/>
        <v>5638.62317623541</v>
      </c>
      <c r="N23" s="4">
        <f t="shared" si="3"/>
        <v>9302.67498028003</v>
      </c>
      <c r="O23" s="4">
        <f t="shared" si="7"/>
        <v>4320.58462455015</v>
      </c>
      <c r="P23" s="4">
        <f t="shared" si="4"/>
        <v>1894.53496206821</v>
      </c>
      <c r="Q23" s="4">
        <f t="shared" si="8"/>
        <v>1318.03855168526</v>
      </c>
      <c r="R23" s="4">
        <f t="shared" si="5"/>
        <v>20192.7900576518</v>
      </c>
      <c r="S23" s="4">
        <f t="shared" si="9"/>
        <v>22854.9443289395</v>
      </c>
      <c r="T23" s="3">
        <v>12840</v>
      </c>
      <c r="U23" s="3">
        <v>12840</v>
      </c>
      <c r="V23" s="2">
        <v>35.88822</v>
      </c>
      <c r="W23" s="3">
        <v>40.43014</v>
      </c>
      <c r="X23" s="3">
        <v>28.16666</v>
      </c>
      <c r="Y23" s="3">
        <v>12.28909</v>
      </c>
      <c r="Z23" s="3">
        <v>35.91202</v>
      </c>
      <c r="AA23" s="3">
        <v>144.51479</v>
      </c>
      <c r="AB23" s="15">
        <f t="shared" si="11"/>
        <v>79398460920.7226</v>
      </c>
      <c r="AC23" s="15">
        <f t="shared" si="12"/>
        <v>28197902615.7145</v>
      </c>
      <c r="AD23" s="15">
        <f t="shared" si="13"/>
        <v>662183965839.624</v>
      </c>
      <c r="AE23" s="11">
        <f t="shared" si="10"/>
        <v>7.69780329376061</v>
      </c>
      <c r="AG23" s="1"/>
      <c r="AH23" s="1"/>
      <c r="AI23" s="1"/>
      <c r="AJ23" s="1"/>
      <c r="AL23" s="1"/>
      <c r="AM23" s="1"/>
      <c r="AN23" s="1"/>
      <c r="AO23" s="1"/>
    </row>
    <row r="24" spans="1:41">
      <c r="A24" s="2">
        <v>2040</v>
      </c>
      <c r="B24" s="2">
        <v>31159</v>
      </c>
      <c r="C24" s="7">
        <f t="shared" si="1"/>
        <v>0.385768622883877</v>
      </c>
      <c r="D24" s="8">
        <v>0.323993414060787</v>
      </c>
      <c r="E24" s="8">
        <v>0.0617752088230906</v>
      </c>
      <c r="F24" s="9">
        <v>0.614231377116123</v>
      </c>
      <c r="G24" s="2">
        <v>424773</v>
      </c>
      <c r="H24" s="4">
        <f t="shared" si="2"/>
        <v>130410.466471601</v>
      </c>
      <c r="I24" s="2">
        <v>100864.175661551</v>
      </c>
      <c r="J24" s="2">
        <v>29546.29081005</v>
      </c>
      <c r="K24" s="2">
        <v>294361.646253634</v>
      </c>
      <c r="L24" s="10">
        <f t="shared" si="0"/>
        <v>12020.1645204387</v>
      </c>
      <c r="M24" s="10">
        <f t="shared" si="6"/>
        <v>6449.69351330967</v>
      </c>
      <c r="N24" s="4">
        <f t="shared" si="3"/>
        <v>10095.3107887201</v>
      </c>
      <c r="O24" s="4">
        <f t="shared" si="7"/>
        <v>4912.2687875008</v>
      </c>
      <c r="P24" s="4">
        <f t="shared" si="4"/>
        <v>1924.85373171868</v>
      </c>
      <c r="Q24" s="4">
        <f t="shared" si="8"/>
        <v>1537.42472580889</v>
      </c>
      <c r="R24" s="4">
        <f t="shared" si="5"/>
        <v>19138.8354795613</v>
      </c>
      <c r="S24" s="4">
        <f t="shared" si="9"/>
        <v>22604.8937555335</v>
      </c>
      <c r="T24" s="3">
        <v>12990</v>
      </c>
      <c r="U24" s="3">
        <v>12990</v>
      </c>
      <c r="V24" s="2">
        <v>35.28886</v>
      </c>
      <c r="W24" s="3">
        <v>39.4305</v>
      </c>
      <c r="X24" s="3">
        <v>27.46598</v>
      </c>
      <c r="Y24" s="3">
        <v>11.60146</v>
      </c>
      <c r="Z24" s="3">
        <v>35.08617</v>
      </c>
      <c r="AA24" s="3">
        <v>143.60466</v>
      </c>
      <c r="AB24" s="15">
        <f t="shared" si="11"/>
        <v>84616234343.9884</v>
      </c>
      <c r="AC24" s="15">
        <f t="shared" si="12"/>
        <v>28255008303.7825</v>
      </c>
      <c r="AD24" s="15">
        <f t="shared" si="13"/>
        <v>651535626721.125</v>
      </c>
      <c r="AE24" s="11">
        <f t="shared" si="10"/>
        <v>7.64406869368896</v>
      </c>
      <c r="AG24" s="1"/>
      <c r="AH24" s="1"/>
      <c r="AI24" s="1"/>
      <c r="AJ24" s="1"/>
      <c r="AL24" s="1"/>
      <c r="AM24" s="1"/>
      <c r="AN24" s="1"/>
      <c r="AO24" s="1"/>
    </row>
    <row r="25" spans="1:41">
      <c r="A25" s="2">
        <v>2041</v>
      </c>
      <c r="B25" s="2">
        <v>31288</v>
      </c>
      <c r="F25" s="9"/>
      <c r="M25" s="17"/>
      <c r="T25" s="3">
        <v>13140</v>
      </c>
      <c r="U25" s="3">
        <v>13140</v>
      </c>
      <c r="V25" s="2"/>
    </row>
    <row r="26" spans="1:41">
      <c r="A26" s="2">
        <v>2042</v>
      </c>
      <c r="B26" s="2">
        <v>31331</v>
      </c>
      <c r="F26" s="9"/>
      <c r="T26" s="3">
        <v>13270</v>
      </c>
      <c r="U26" s="3">
        <v>13270</v>
      </c>
      <c r="V26" s="2"/>
    </row>
    <row r="27" spans="1:41">
      <c r="A27" s="2">
        <v>2043</v>
      </c>
      <c r="B27" s="2">
        <v>31300</v>
      </c>
      <c r="F27" s="9"/>
      <c r="T27" s="3">
        <v>13390</v>
      </c>
      <c r="U27" s="3">
        <v>13390</v>
      </c>
      <c r="V27" s="2"/>
    </row>
    <row r="28" spans="1:41">
      <c r="A28" s="2">
        <v>2044</v>
      </c>
      <c r="B28" s="2">
        <v>31233</v>
      </c>
      <c r="F28" s="9"/>
      <c r="T28" s="3">
        <v>13510</v>
      </c>
      <c r="U28" s="3">
        <v>13510</v>
      </c>
      <c r="V28" s="2"/>
    </row>
    <row r="29" spans="1:41">
      <c r="A29" s="2">
        <v>2045</v>
      </c>
      <c r="B29" s="2">
        <v>31117</v>
      </c>
      <c r="F29" s="9"/>
      <c r="O29" s="17"/>
      <c r="T29" s="3">
        <v>13620</v>
      </c>
      <c r="U29" s="3">
        <v>13620</v>
      </c>
      <c r="V29" s="2"/>
      <c r="AE29" s="3">
        <f>SUM(AE5:AE24)</f>
        <v>154.417845431817</v>
      </c>
    </row>
    <row r="30" spans="1:41">
      <c r="A30" s="2">
        <v>2046</v>
      </c>
      <c r="B30" s="2">
        <v>30947</v>
      </c>
      <c r="F30" s="9"/>
      <c r="T30" s="3">
        <v>13720</v>
      </c>
      <c r="U30" s="3">
        <v>13720</v>
      </c>
      <c r="V30" s="2"/>
    </row>
    <row r="31" spans="1:41">
      <c r="A31" s="2">
        <v>2047</v>
      </c>
      <c r="B31" s="2">
        <v>30717</v>
      </c>
      <c r="F31" s="9"/>
      <c r="T31" s="3">
        <v>13800</v>
      </c>
      <c r="U31" s="3">
        <v>13800</v>
      </c>
      <c r="V31" s="2"/>
    </row>
    <row r="32" spans="1:41">
      <c r="A32" s="2">
        <v>2048</v>
      </c>
      <c r="B32" s="2">
        <v>30435</v>
      </c>
      <c r="F32" s="9"/>
      <c r="T32" s="3">
        <v>13880</v>
      </c>
      <c r="U32" s="3">
        <v>13880</v>
      </c>
      <c r="V32" s="2"/>
    </row>
    <row r="33" spans="1:22">
      <c r="A33" s="2">
        <v>2049</v>
      </c>
      <c r="B33" s="2">
        <v>30101</v>
      </c>
      <c r="F33" s="9"/>
      <c r="T33" s="3">
        <v>13950</v>
      </c>
      <c r="U33" s="3">
        <v>13950</v>
      </c>
      <c r="V33" s="2"/>
    </row>
    <row r="34" spans="1:22">
      <c r="A34" s="2">
        <v>2050</v>
      </c>
      <c r="B34" s="2">
        <v>29716</v>
      </c>
      <c r="F34" s="9"/>
      <c r="T34" s="3">
        <v>14020</v>
      </c>
      <c r="U34" s="3">
        <v>14020</v>
      </c>
    </row>
    <row r="35" spans="1:22">
      <c r="I35" s="18"/>
    </row>
    <row r="36" spans="1:22">
      <c r="G36" s="19"/>
      <c r="I36" s="18"/>
      <c r="L36" s="19"/>
      <c r="M36" s="19"/>
      <c r="S36" s="19"/>
    </row>
    <row r="37" spans="1:22">
      <c r="I37" s="18"/>
      <c r="L37" s="17"/>
      <c r="M37" s="17"/>
    </row>
    <row r="38" spans="1:22">
      <c r="I38" s="18"/>
      <c r="L38" s="17"/>
      <c r="M38" s="17"/>
    </row>
    <row r="39" spans="1:22">
      <c r="I39" s="18"/>
      <c r="L39" s="17"/>
      <c r="M39" s="17"/>
    </row>
    <row r="40" spans="1:22">
      <c r="B40" s="3"/>
      <c r="I40" s="18"/>
      <c r="L40" s="17"/>
      <c r="M40" s="17"/>
    </row>
    <row r="41" spans="1:22">
      <c r="I41" s="18"/>
      <c r="L41" s="17"/>
      <c r="M41" s="17"/>
    </row>
    <row r="42" spans="1:22">
      <c r="I42" s="18"/>
      <c r="L42" s="17"/>
      <c r="M42" s="17"/>
    </row>
    <row r="43" spans="1:22">
      <c r="I43" s="18"/>
      <c r="L43" s="17"/>
      <c r="M43" s="17"/>
    </row>
    <row r="44" spans="1:22">
      <c r="I44" s="18"/>
      <c r="L44" s="17"/>
      <c r="M44" s="17"/>
    </row>
    <row r="45" spans="1:22">
      <c r="I45" s="18"/>
      <c r="L45" s="17"/>
      <c r="M45" s="17"/>
    </row>
    <row r="46" spans="1:22">
      <c r="I46" s="18"/>
      <c r="L46" s="17"/>
      <c r="M46" s="17"/>
    </row>
    <row r="47" spans="1:22">
      <c r="I47" s="18"/>
      <c r="L47" s="17"/>
      <c r="M47" s="17"/>
    </row>
    <row r="48" spans="1:22">
      <c r="I48" s="18"/>
      <c r="L48" s="17"/>
      <c r="M48" s="17"/>
    </row>
    <row r="49" spans="9:13">
      <c r="I49" s="18"/>
      <c r="L49" s="17"/>
      <c r="M49" s="17"/>
    </row>
    <row r="50" spans="9:13">
      <c r="I50" s="18"/>
      <c r="L50" s="17"/>
      <c r="M50" s="17"/>
    </row>
    <row r="51" spans="9:13">
      <c r="I51" s="18"/>
      <c r="L51" s="17"/>
      <c r="M51" s="17"/>
    </row>
    <row r="52" spans="9:13">
      <c r="I52" s="18"/>
      <c r="L52" s="17"/>
      <c r="M52" s="17"/>
    </row>
    <row r="53" spans="9:13">
      <c r="I53" s="18"/>
      <c r="L53" s="17"/>
      <c r="M53" s="17"/>
    </row>
    <row r="54" spans="9:13">
      <c r="I54" s="18"/>
      <c r="L54" s="17"/>
      <c r="M54" s="17"/>
    </row>
    <row r="55" spans="9:13">
      <c r="I55" s="18"/>
      <c r="L55" s="17"/>
      <c r="M55" s="17"/>
    </row>
    <row r="56" spans="9:13">
      <c r="I56" s="18"/>
      <c r="L56" s="17"/>
      <c r="M56" s="17"/>
    </row>
    <row r="57" spans="9:13">
      <c r="I57" s="18"/>
      <c r="L57" s="17"/>
      <c r="M57" s="17"/>
    </row>
    <row r="58" spans="9:13">
      <c r="I58" s="18"/>
      <c r="L58" s="17"/>
      <c r="M58" s="17"/>
    </row>
    <row r="59" spans="9:13">
      <c r="I59" s="18"/>
      <c r="M59" s="17"/>
    </row>
    <row r="60" spans="9:13">
      <c r="I60" s="18"/>
      <c r="M60" s="17"/>
    </row>
    <row r="61" spans="9:13">
      <c r="I61" s="18"/>
      <c r="M61" s="17"/>
    </row>
    <row r="62" spans="9:13">
      <c r="I62" s="18"/>
      <c r="M62" s="17"/>
    </row>
    <row r="63" spans="9:13">
      <c r="I63" s="18"/>
      <c r="M63" s="17"/>
    </row>
    <row r="64" spans="9:13">
      <c r="I64" s="18"/>
      <c r="M64" s="17"/>
    </row>
    <row r="65" spans="9:13">
      <c r="I65" s="18"/>
      <c r="M65" s="17"/>
    </row>
    <row r="66" spans="9:13">
      <c r="I66" s="18"/>
    </row>
    <row r="67" spans="9:13">
      <c r="I67" s="18"/>
    </row>
    <row r="68" spans="9:13">
      <c r="I68" s="18"/>
    </row>
    <row r="69" spans="9:13">
      <c r="I69" s="18"/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69"/>
  <sheetViews>
    <sheetView zoomScale="85" zoomScaleNormal="85" topLeftCell="AW1" workbookViewId="0">
      <selection activeCell="AV2" sqref="AV2:AV24"/>
    </sheetView>
  </sheetViews>
  <sheetFormatPr defaultColWidth="9" defaultRowHeight="14"/>
  <cols>
    <col min="1" max="1" width="9" style="2"/>
    <col min="2" max="2" width="23.1416666666667" style="2" customWidth="1"/>
    <col min="3" max="3" width="18.8583333333333" style="2" customWidth="1"/>
    <col min="4" max="4" width="17" style="2" customWidth="1"/>
    <col min="5" max="5" width="18.5" style="2" customWidth="1"/>
    <col min="6" max="6" width="16.8583333333333" style="2" customWidth="1"/>
    <col min="7" max="7" width="16" style="2" customWidth="1"/>
    <col min="8" max="10" width="18.8583333333333" style="2" customWidth="1"/>
    <col min="11" max="11" width="19.3583333333333" style="2" customWidth="1"/>
    <col min="12" max="12" width="18.7083333333333" style="2" customWidth="1"/>
    <col min="13" max="18" width="18" style="2" customWidth="1"/>
    <col min="19" max="20" width="20.7083333333333" style="2" customWidth="1"/>
    <col min="21" max="25" width="18" style="2" customWidth="1"/>
    <col min="26" max="31" width="20.7083333333333" style="2" customWidth="1"/>
    <col min="32" max="33" width="18" style="2" customWidth="1"/>
    <col min="34" max="34" width="21" style="2" customWidth="1"/>
    <col min="35" max="35" width="22.6416666666667" style="2" customWidth="1"/>
    <col min="36" max="41" width="20.7083333333333" style="2" customWidth="1"/>
    <col min="42" max="45" width="18" style="2" customWidth="1"/>
    <col min="46" max="46" width="19" style="3" customWidth="1"/>
    <col min="47" max="49" width="19.3583333333333" style="3" customWidth="1"/>
    <col min="50" max="50" width="21.3583333333333" style="3" customWidth="1"/>
    <col min="51" max="54" width="17.1416666666667" style="3" customWidth="1"/>
    <col min="55" max="55" width="13.1416666666667" style="3" customWidth="1"/>
    <col min="56" max="56" width="15.8583333333333" style="3" customWidth="1"/>
    <col min="57" max="57" width="11.5" style="3" customWidth="1"/>
    <col min="58" max="58" width="13.8583333333333" style="3" customWidth="1"/>
    <col min="59" max="16384" width="9" style="3"/>
  </cols>
  <sheetData>
    <row r="1" s="5" customFormat="1" spans="1:58">
      <c r="A1" s="20" t="s">
        <v>0</v>
      </c>
      <c r="B1" s="20" t="s">
        <v>1</v>
      </c>
      <c r="C1" s="21" t="s">
        <v>8</v>
      </c>
      <c r="D1" s="20" t="s">
        <v>9</v>
      </c>
      <c r="E1" s="20" t="s">
        <v>10</v>
      </c>
      <c r="F1" s="20" t="s">
        <v>11</v>
      </c>
      <c r="G1" s="20" t="s">
        <v>2</v>
      </c>
      <c r="H1" s="21" t="s">
        <v>12</v>
      </c>
      <c r="I1" s="20" t="s">
        <v>13</v>
      </c>
      <c r="J1" s="20" t="s">
        <v>14</v>
      </c>
      <c r="K1" s="20" t="s">
        <v>15</v>
      </c>
      <c r="L1" s="5" t="s">
        <v>16</v>
      </c>
      <c r="M1" s="5" t="s">
        <v>17</v>
      </c>
      <c r="N1" s="20" t="s">
        <v>18</v>
      </c>
      <c r="O1" s="20" t="s">
        <v>19</v>
      </c>
      <c r="P1" s="21" t="s">
        <v>20</v>
      </c>
      <c r="Q1" s="21" t="s">
        <v>21</v>
      </c>
      <c r="R1" s="21" t="s">
        <v>22</v>
      </c>
      <c r="S1" s="21" t="s">
        <v>23</v>
      </c>
      <c r="T1" s="21" t="s">
        <v>24</v>
      </c>
      <c r="U1" s="21" t="s">
        <v>25</v>
      </c>
      <c r="V1" s="21" t="s">
        <v>26</v>
      </c>
      <c r="W1" s="21" t="s">
        <v>27</v>
      </c>
      <c r="X1" s="20" t="s">
        <v>28</v>
      </c>
      <c r="Y1" s="5" t="s">
        <v>29</v>
      </c>
      <c r="Z1" s="21" t="s">
        <v>30</v>
      </c>
      <c r="AA1" s="21" t="s">
        <v>31</v>
      </c>
      <c r="AB1" s="21" t="s">
        <v>32</v>
      </c>
      <c r="AC1" s="21" t="s">
        <v>33</v>
      </c>
      <c r="AD1" s="21" t="s">
        <v>34</v>
      </c>
      <c r="AE1" s="21" t="s">
        <v>35</v>
      </c>
      <c r="AF1" s="21" t="s">
        <v>36</v>
      </c>
      <c r="AG1" s="21" t="s">
        <v>37</v>
      </c>
      <c r="AH1" s="5" t="s">
        <v>38</v>
      </c>
      <c r="AI1" s="5" t="s">
        <v>39</v>
      </c>
      <c r="AJ1" s="21" t="s">
        <v>40</v>
      </c>
      <c r="AK1" s="21" t="s">
        <v>41</v>
      </c>
      <c r="AL1" s="21" t="s">
        <v>42</v>
      </c>
      <c r="AM1" s="21" t="s">
        <v>43</v>
      </c>
      <c r="AN1" s="21" t="s">
        <v>44</v>
      </c>
      <c r="AO1" s="21" t="s">
        <v>45</v>
      </c>
      <c r="AP1" s="21" t="s">
        <v>46</v>
      </c>
      <c r="AQ1" s="21" t="s">
        <v>47</v>
      </c>
      <c r="AR1" s="21" t="s">
        <v>48</v>
      </c>
      <c r="AS1" s="21" t="s">
        <v>49</v>
      </c>
      <c r="AT1" s="20" t="s">
        <v>50</v>
      </c>
      <c r="AU1" s="20" t="s">
        <v>3</v>
      </c>
      <c r="AV1" s="21" t="s">
        <v>51</v>
      </c>
      <c r="AW1" s="2" t="s">
        <v>52</v>
      </c>
      <c r="AX1" s="2" t="s">
        <v>53</v>
      </c>
      <c r="AY1" s="2" t="s">
        <v>4</v>
      </c>
      <c r="AZ1" s="2" t="s">
        <v>54</v>
      </c>
      <c r="BA1" s="2" t="s">
        <v>55</v>
      </c>
      <c r="BB1" s="2" t="s">
        <v>5</v>
      </c>
      <c r="BC1" s="5" t="s">
        <v>56</v>
      </c>
      <c r="BD1" s="5" t="s">
        <v>57</v>
      </c>
      <c r="BE1" s="5" t="s">
        <v>6</v>
      </c>
      <c r="BF1" s="5" t="s">
        <v>7</v>
      </c>
    </row>
    <row r="2" spans="1:58">
      <c r="A2" s="2">
        <v>2018</v>
      </c>
      <c r="B2" s="2">
        <v>25411</v>
      </c>
      <c r="C2" s="4"/>
      <c r="G2" s="2">
        <v>202332</v>
      </c>
      <c r="H2" s="4"/>
      <c r="P2" s="4"/>
      <c r="Q2" s="4"/>
      <c r="R2" s="4"/>
      <c r="S2" s="4"/>
      <c r="T2" s="4"/>
      <c r="U2" s="4"/>
      <c r="V2" s="4"/>
      <c r="W2" s="4"/>
      <c r="Z2" s="4"/>
      <c r="AA2" s="4"/>
      <c r="AB2" s="4"/>
      <c r="AC2" s="4"/>
      <c r="AD2" s="4"/>
      <c r="AE2" s="4"/>
      <c r="AF2" s="4"/>
      <c r="AG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3">
        <f>AU2*(1+AV2)</f>
        <v>12663.144</v>
      </c>
      <c r="AU2" s="3">
        <v>10790</v>
      </c>
      <c r="AV2" s="23">
        <v>0.1736</v>
      </c>
      <c r="AW2" s="2"/>
    </row>
    <row r="3" spans="1:58">
      <c r="A3" s="2">
        <v>2019</v>
      </c>
      <c r="B3" s="2">
        <v>23562</v>
      </c>
      <c r="C3" s="7">
        <f>1-F3</f>
        <v>0.0419803617850996</v>
      </c>
      <c r="D3" s="8">
        <v>0.032599898876045</v>
      </c>
      <c r="E3" s="8">
        <v>0.00938046290905463</v>
      </c>
      <c r="F3" s="9">
        <v>0.9580196382149</v>
      </c>
      <c r="G3" s="2">
        <v>222992</v>
      </c>
      <c r="H3" s="4">
        <f>I3+J3</f>
        <v>3761.60572462367</v>
      </c>
      <c r="I3" s="2">
        <v>2938.92945136004</v>
      </c>
      <c r="J3" s="2">
        <v>822.676273263626</v>
      </c>
      <c r="K3" s="2">
        <v>219230.550413899</v>
      </c>
      <c r="L3" s="17">
        <v>989.141284380516</v>
      </c>
      <c r="M3" s="17"/>
      <c r="N3" s="2">
        <v>768.118817317372</v>
      </c>
      <c r="P3" s="4"/>
      <c r="Q3" s="4"/>
      <c r="R3" s="4"/>
      <c r="S3" s="4"/>
      <c r="T3" s="4"/>
      <c r="U3" s="4"/>
      <c r="V3" s="4"/>
      <c r="W3" s="4"/>
      <c r="X3" s="2">
        <v>221.022467063145</v>
      </c>
      <c r="Z3" s="4"/>
      <c r="AA3" s="4"/>
      <c r="AB3" s="4"/>
      <c r="AC3" s="4"/>
      <c r="AD3" s="4"/>
      <c r="AE3" s="4"/>
      <c r="AF3" s="4"/>
      <c r="AG3" s="4"/>
      <c r="AH3" s="2">
        <v>22572.8587156195</v>
      </c>
      <c r="AJ3" s="4"/>
      <c r="AK3" s="4"/>
      <c r="AL3" s="4"/>
      <c r="AM3" s="4"/>
      <c r="AN3" s="4"/>
      <c r="AO3" s="4"/>
      <c r="AP3" s="4"/>
      <c r="AQ3" s="4"/>
      <c r="AR3" s="4"/>
      <c r="AS3" s="4"/>
      <c r="AT3" s="3">
        <f t="shared" ref="AT3:AT34" si="0">AU3*(1+AV3)</f>
        <v>12428.424</v>
      </c>
      <c r="AU3" s="3">
        <v>10590</v>
      </c>
      <c r="AV3" s="23">
        <v>0.1736</v>
      </c>
      <c r="AW3" s="2"/>
    </row>
    <row r="4" spans="1:58">
      <c r="A4" s="2">
        <v>2020</v>
      </c>
      <c r="B4" s="2">
        <v>24584</v>
      </c>
      <c r="C4" s="7">
        <f t="shared" ref="C4:C24" si="1">1-F4</f>
        <v>0.048418717521153</v>
      </c>
      <c r="D4" s="8">
        <v>0.032875363716192</v>
      </c>
      <c r="E4" s="8">
        <v>0.015543353804961</v>
      </c>
      <c r="F4" s="9">
        <v>0.951581282478847</v>
      </c>
      <c r="G4" s="2">
        <v>240900</v>
      </c>
      <c r="H4" s="4">
        <f t="shared" ref="H4:H24" si="2">I4+J4</f>
        <v>4933.52636113495</v>
      </c>
      <c r="I4" s="2">
        <v>3737.50948282408</v>
      </c>
      <c r="J4" s="2">
        <v>1196.01687831087</v>
      </c>
      <c r="K4" s="2">
        <v>235966.222289356</v>
      </c>
      <c r="L4" s="17">
        <v>1190.32575154003</v>
      </c>
      <c r="M4" s="17">
        <v>18.4051150287432</v>
      </c>
      <c r="N4" s="2">
        <v>808.207941598863</v>
      </c>
      <c r="O4" s="2">
        <v>9.62791013482638</v>
      </c>
      <c r="P4" s="4">
        <f>N4-O4</f>
        <v>798.580031464037</v>
      </c>
      <c r="Q4" s="4">
        <f>(AS4-AK4)*(D4/(D4+E4))</f>
        <v>640.344313733459</v>
      </c>
      <c r="R4" s="4">
        <f>P4+Q4</f>
        <v>1438.9243451975</v>
      </c>
      <c r="S4" s="4">
        <f>I3+R4+O4</f>
        <v>4387.48170669237</v>
      </c>
      <c r="T4" s="4">
        <f>O4/(I4+O4)</f>
        <v>0.00256940408774917</v>
      </c>
      <c r="U4" s="24">
        <f>0.65%*AV4/1%</f>
        <v>0.11284</v>
      </c>
      <c r="V4" s="4">
        <f>S4*T4*(1+U4)</f>
        <v>12.5452828357783</v>
      </c>
      <c r="W4" s="4">
        <f>S4-V4</f>
        <v>4374.93642385659</v>
      </c>
      <c r="X4" s="2">
        <v>382.117809941162</v>
      </c>
      <c r="Y4" s="2">
        <v>8.77720489391663</v>
      </c>
      <c r="Z4" s="4">
        <f>X4-Y4</f>
        <v>373.340605047245</v>
      </c>
      <c r="AA4" s="4">
        <f>(AS4-AK4)*(E4/(E4+D4))</f>
        <v>302.7524900189</v>
      </c>
      <c r="AB4" s="4">
        <f>Z4+AA4</f>
        <v>676.093095066145</v>
      </c>
      <c r="AC4" s="4">
        <f>J3+AB4+Y4</f>
        <v>1507.54657322369</v>
      </c>
      <c r="AD4" s="4">
        <f>Y4/(J4+Y4)</f>
        <v>0.00728523240300866</v>
      </c>
      <c r="AE4" s="24">
        <f>0.65%*AV4/1%</f>
        <v>0.11284</v>
      </c>
      <c r="AF4" s="4">
        <f>AC4*AD4*(1+AE4)</f>
        <v>12.222129359256</v>
      </c>
      <c r="AG4" s="4">
        <f>AC4-AF4</f>
        <v>1495.32444386443</v>
      </c>
      <c r="AH4" s="2">
        <v>23393.67424846</v>
      </c>
      <c r="AI4" s="2">
        <v>6658.00237300285</v>
      </c>
      <c r="AJ4" s="24">
        <v>0.1314</v>
      </c>
      <c r="AK4" s="4">
        <f>AH4*AJ4</f>
        <v>3073.92879624764</v>
      </c>
      <c r="AL4" s="4">
        <f>AH4*(1+AJ4)</f>
        <v>26467.6030447076</v>
      </c>
      <c r="AM4" s="4">
        <f>K3+AL4</f>
        <v>245698.153458607</v>
      </c>
      <c r="AN4" s="4">
        <f>AI4/(AI4+K4)</f>
        <v>0.0274416224606931</v>
      </c>
      <c r="AO4" s="4">
        <v>0</v>
      </c>
      <c r="AP4" s="4">
        <f t="shared" ref="AP4:AP24" si="3">AM4*AN4*(1+AO4)</f>
        <v>6742.35596650052</v>
      </c>
      <c r="AQ4" s="4">
        <f t="shared" ref="AQ4:AQ24" si="4">AM4-AP4</f>
        <v>238955.797492106</v>
      </c>
      <c r="AR4" s="15">
        <v>0.1634</v>
      </c>
      <c r="AS4" s="4">
        <f>B4*(AR4)</f>
        <v>4017.0256</v>
      </c>
      <c r="AT4" s="3">
        <f t="shared" si="0"/>
        <v>12393.216</v>
      </c>
      <c r="AU4" s="3">
        <v>10560</v>
      </c>
      <c r="AV4" s="23">
        <v>0.1736</v>
      </c>
      <c r="AW4" s="2"/>
      <c r="BC4" s="11"/>
      <c r="BD4" s="11"/>
      <c r="BE4" s="11"/>
      <c r="BF4" s="11"/>
    </row>
    <row r="5" spans="1:58">
      <c r="A5" s="2">
        <v>2021</v>
      </c>
      <c r="B5" s="2">
        <v>25535</v>
      </c>
      <c r="C5" s="7">
        <f t="shared" si="1"/>
        <v>0.0853030714432165</v>
      </c>
      <c r="D5" s="8">
        <v>0.0625742701882644</v>
      </c>
      <c r="E5" s="8">
        <v>0.0227288012549521</v>
      </c>
      <c r="F5" s="9">
        <v>0.914696928556784</v>
      </c>
      <c r="G5" s="2">
        <v>258441</v>
      </c>
      <c r="H5" s="4">
        <f t="shared" si="2"/>
        <v>7077.55008760057</v>
      </c>
      <c r="I5" s="2">
        <v>5305.87445977142</v>
      </c>
      <c r="J5" s="2">
        <v>1771.67562782915</v>
      </c>
      <c r="K5" s="2">
        <v>251363.517513367</v>
      </c>
      <c r="L5" s="17">
        <v>2178.21392930253</v>
      </c>
      <c r="M5" s="17">
        <v>34.1902028369113</v>
      </c>
      <c r="N5" s="2">
        <v>1597.83398925733</v>
      </c>
      <c r="O5" s="2">
        <v>29.4690123099899</v>
      </c>
      <c r="P5" s="4">
        <f t="shared" ref="P5:P24" si="5">N5-O5</f>
        <v>1568.36497694734</v>
      </c>
      <c r="Q5" s="4">
        <f t="shared" ref="Q5:Q24" si="6">(AS5-AK5)*(D5/(D5+E5))</f>
        <v>809.355698406605</v>
      </c>
      <c r="R5" s="4">
        <f t="shared" ref="R5:R24" si="7">P5+Q5</f>
        <v>2377.72067535395</v>
      </c>
      <c r="S5" s="4">
        <f t="shared" ref="S5:S24" si="8">I4+R5+O5</f>
        <v>6144.69917048802</v>
      </c>
      <c r="T5" s="4">
        <f t="shared" ref="T5:T24" si="9">O5/(I5+O5)</f>
        <v>0.00552335804886682</v>
      </c>
      <c r="U5" s="24">
        <f t="shared" ref="U5:U24" si="10">0.65%*AV5/1%</f>
        <v>0.11284</v>
      </c>
      <c r="V5" s="4">
        <f t="shared" ref="V5:V24" si="11">S5*T5*(1+U5)</f>
        <v>37.7690925405943</v>
      </c>
      <c r="W5" s="4">
        <f t="shared" ref="W5:W24" si="12">S5-V5</f>
        <v>6106.93007794743</v>
      </c>
      <c r="X5" s="2">
        <v>580.379940045201</v>
      </c>
      <c r="Y5" s="2">
        <v>4.72119052692278</v>
      </c>
      <c r="Z5" s="4">
        <f t="shared" ref="Z5:Z24" si="13">X5-Y5</f>
        <v>575.658749518278</v>
      </c>
      <c r="AA5" s="4">
        <f t="shared" ref="AA5:AA24" si="14">(AS5-AK5)*(E5/(E5+D5))</f>
        <v>293.981611903748</v>
      </c>
      <c r="AB5" s="4">
        <f t="shared" ref="AB5:AB24" si="15">Z5+AA5</f>
        <v>869.640361422026</v>
      </c>
      <c r="AC5" s="4">
        <f t="shared" ref="AC5:AC24" si="16">J4+AB5+Y5</f>
        <v>2070.37843025982</v>
      </c>
      <c r="AD5" s="4">
        <f t="shared" ref="AD5:AD24" si="17">Y5/(J5+Y5)</f>
        <v>0.00265773417185689</v>
      </c>
      <c r="AE5" s="24">
        <f t="shared" ref="AE5:AE24" si="18">0.65%*AV5/1%</f>
        <v>0.11284</v>
      </c>
      <c r="AF5" s="4">
        <f t="shared" ref="AF5:AF24" si="19">AC5*AD5*(1+AE5)</f>
        <v>6.1234193521103</v>
      </c>
      <c r="AG5" s="4">
        <f t="shared" ref="AG5:AG24" si="20">AC5-AF5</f>
        <v>2064.25501090771</v>
      </c>
      <c r="AH5" s="2">
        <v>23356.7860706975</v>
      </c>
      <c r="AI5" s="2">
        <v>7959.49084668668</v>
      </c>
      <c r="AJ5" s="24">
        <v>0.1314</v>
      </c>
      <c r="AK5" s="4">
        <f t="shared" ref="AK5:AK24" si="21">AH5*AJ5</f>
        <v>3069.08168968965</v>
      </c>
      <c r="AL5" s="4">
        <f>AH5*(1+AJ5)</f>
        <v>26425.8677603871</v>
      </c>
      <c r="AM5" s="4">
        <f t="shared" ref="AM5:AM24" si="22">K4+AL5</f>
        <v>262392.090049744</v>
      </c>
      <c r="AN5" s="4">
        <f t="shared" ref="AN5:AN24" si="23">AI5/(AI5+K5)</f>
        <v>0.0306933460976799</v>
      </c>
      <c r="AO5" s="4">
        <v>0</v>
      </c>
      <c r="AP5" s="4">
        <f t="shared" si="3"/>
        <v>8053.69123319037</v>
      </c>
      <c r="AQ5" s="4">
        <f t="shared" si="4"/>
        <v>254338.398816553</v>
      </c>
      <c r="AR5" s="15">
        <v>0.1634</v>
      </c>
      <c r="AS5" s="4">
        <f t="shared" ref="AS5:AS24" si="24">B5*(AR5)</f>
        <v>4172.419</v>
      </c>
      <c r="AT5" s="3">
        <f t="shared" si="0"/>
        <v>12369.744</v>
      </c>
      <c r="AU5" s="3">
        <v>10540</v>
      </c>
      <c r="AV5" s="23">
        <v>0.1736</v>
      </c>
      <c r="AW5" s="1">
        <v>69.96</v>
      </c>
      <c r="AX5" s="1">
        <v>87.12</v>
      </c>
      <c r="AY5" s="1">
        <v>60.36</v>
      </c>
      <c r="AZ5" s="1">
        <v>81.15</v>
      </c>
      <c r="BA5" s="1">
        <v>127.98</v>
      </c>
      <c r="BB5" s="3">
        <v>205.33</v>
      </c>
      <c r="BC5" s="15">
        <f t="shared" ref="BC5:BC24" si="25">AW5*15*AT5*(N5+Q5)+W5*AZ5*AT5</f>
        <v>37377435684.6699</v>
      </c>
      <c r="BD5" s="15">
        <f t="shared" ref="BD5:BD24" si="26">AT5*15*AX5*AB5+AG5*AT5*BA5</f>
        <v>17325426876.9287</v>
      </c>
      <c r="BE5" s="15">
        <f t="shared" ref="BE5:BE24" si="27">AU5*15*AY5*AL5+AQ5*AU5*BB5</f>
        <v>802613454406.172</v>
      </c>
      <c r="BF5" s="15">
        <f t="shared" ref="BF5:BF24" si="28">(BE5+BD5+BC5)/100000000000</f>
        <v>8.57316316967771</v>
      </c>
    </row>
    <row r="6" spans="1:58">
      <c r="A6" s="2">
        <v>2022</v>
      </c>
      <c r="B6" s="2">
        <v>26419</v>
      </c>
      <c r="C6" s="7">
        <f t="shared" si="1"/>
        <v>0.0948372473238583</v>
      </c>
      <c r="D6" s="8">
        <v>0.0714844983147803</v>
      </c>
      <c r="E6" s="8">
        <v>0.0233527490090781</v>
      </c>
      <c r="F6" s="9">
        <v>0.905162752676142</v>
      </c>
      <c r="G6" s="2">
        <v>275271</v>
      </c>
      <c r="H6" s="4">
        <f t="shared" si="2"/>
        <v>9519.25801058289</v>
      </c>
      <c r="I6" s="2">
        <v>7133.62247037181</v>
      </c>
      <c r="J6" s="2">
        <v>2385.63554021108</v>
      </c>
      <c r="K6" s="2">
        <v>265751.540156694</v>
      </c>
      <c r="L6" s="17">
        <v>2505.50523704901</v>
      </c>
      <c r="M6" s="17">
        <v>63.7973140666927</v>
      </c>
      <c r="N6" s="2">
        <v>1888.54896097818</v>
      </c>
      <c r="O6" s="2">
        <v>60.8009503777894</v>
      </c>
      <c r="P6" s="4">
        <f t="shared" si="5"/>
        <v>1827.74801060039</v>
      </c>
      <c r="Q6" s="4">
        <f t="shared" si="6"/>
        <v>885.389842662029</v>
      </c>
      <c r="R6" s="4">
        <f t="shared" si="7"/>
        <v>2713.13785326242</v>
      </c>
      <c r="S6" s="4">
        <f t="shared" si="8"/>
        <v>8079.81326341163</v>
      </c>
      <c r="T6" s="4">
        <f t="shared" si="9"/>
        <v>0.00845112204578229</v>
      </c>
      <c r="U6" s="24">
        <f t="shared" si="10"/>
        <v>0.11284</v>
      </c>
      <c r="V6" s="4">
        <f t="shared" si="11"/>
        <v>75.9885967817159</v>
      </c>
      <c r="W6" s="4">
        <f t="shared" si="12"/>
        <v>8003.82466662991</v>
      </c>
      <c r="X6" s="2">
        <v>616.956276070835</v>
      </c>
      <c r="Y6" s="2">
        <v>2.99636368890333</v>
      </c>
      <c r="Z6" s="4">
        <f t="shared" si="13"/>
        <v>613.959912381932</v>
      </c>
      <c r="AA6" s="4">
        <f t="shared" si="14"/>
        <v>289.241545486212</v>
      </c>
      <c r="AB6" s="4">
        <f t="shared" si="15"/>
        <v>903.201457868144</v>
      </c>
      <c r="AC6" s="4">
        <f t="shared" si="16"/>
        <v>2677.8734493862</v>
      </c>
      <c r="AD6" s="4">
        <f t="shared" si="17"/>
        <v>0.00125442672184487</v>
      </c>
      <c r="AE6" s="24">
        <f t="shared" si="18"/>
        <v>0.11284</v>
      </c>
      <c r="AF6" s="4">
        <f t="shared" si="19"/>
        <v>3.73824769069399</v>
      </c>
      <c r="AG6" s="4">
        <f t="shared" si="20"/>
        <v>2674.13520169551</v>
      </c>
      <c r="AH6" s="2">
        <v>23913.494762951</v>
      </c>
      <c r="AI6" s="2">
        <v>9525.47211962473</v>
      </c>
      <c r="AJ6" s="24">
        <v>0.1314</v>
      </c>
      <c r="AK6" s="4">
        <f t="shared" si="21"/>
        <v>3142.23321185176</v>
      </c>
      <c r="AL6" s="4">
        <f t="shared" ref="AL6:AL24" si="29">AH6*(1+AJ6)</f>
        <v>27055.7279748027</v>
      </c>
      <c r="AM6" s="4">
        <f t="shared" si="22"/>
        <v>278419.24548817</v>
      </c>
      <c r="AN6" s="4">
        <f t="shared" si="23"/>
        <v>0.0346032240064536</v>
      </c>
      <c r="AO6" s="4">
        <v>0</v>
      </c>
      <c r="AP6" s="4">
        <f t="shared" si="3"/>
        <v>9634.20351933495</v>
      </c>
      <c r="AQ6" s="4">
        <f t="shared" si="4"/>
        <v>268785.041968835</v>
      </c>
      <c r="AR6" s="15">
        <v>0.1634</v>
      </c>
      <c r="AS6" s="4">
        <f t="shared" si="24"/>
        <v>4316.8646</v>
      </c>
      <c r="AT6" s="3">
        <f t="shared" si="0"/>
        <v>12358.008</v>
      </c>
      <c r="AU6" s="3">
        <v>10530</v>
      </c>
      <c r="AV6" s="23">
        <v>0.1736</v>
      </c>
      <c r="AW6" s="2">
        <v>52.09809</v>
      </c>
      <c r="AX6" s="3">
        <v>62.70172</v>
      </c>
      <c r="AY6" s="3">
        <v>42.67227</v>
      </c>
      <c r="AZ6" s="3">
        <v>65.73519</v>
      </c>
      <c r="BA6" s="3">
        <v>117.66935</v>
      </c>
      <c r="BB6" s="3">
        <v>189.54605</v>
      </c>
      <c r="BC6" s="15">
        <f t="shared" si="25"/>
        <v>33291072609.7266</v>
      </c>
      <c r="BD6" s="15">
        <f t="shared" si="26"/>
        <v>14386550602.6521</v>
      </c>
      <c r="BE6" s="15">
        <f t="shared" si="27"/>
        <v>718831323380.175</v>
      </c>
      <c r="BF6" s="11">
        <f t="shared" si="28"/>
        <v>7.66508946592554</v>
      </c>
    </row>
    <row r="7" spans="1:58">
      <c r="A7" s="2">
        <v>2023</v>
      </c>
      <c r="B7" s="2">
        <v>27241</v>
      </c>
      <c r="C7" s="7">
        <f t="shared" si="1"/>
        <v>0.113208921785586</v>
      </c>
      <c r="D7" s="8">
        <v>0.085150312799082</v>
      </c>
      <c r="E7" s="8">
        <v>0.0280586089865036</v>
      </c>
      <c r="F7" s="9">
        <v>0.886791078214414</v>
      </c>
      <c r="G7" s="2">
        <v>291214</v>
      </c>
      <c r="H7" s="4">
        <f t="shared" si="2"/>
        <v>12461.0783897459</v>
      </c>
      <c r="I7" s="2">
        <v>9313.60419080649</v>
      </c>
      <c r="J7" s="2">
        <v>3147.47419893943</v>
      </c>
      <c r="K7" s="2">
        <v>278752.829191179</v>
      </c>
      <c r="L7" s="17">
        <v>3083.92423836114</v>
      </c>
      <c r="M7" s="17">
        <v>142.103859198116</v>
      </c>
      <c r="N7" s="2">
        <v>2319.57967095979</v>
      </c>
      <c r="O7" s="2">
        <v>139.597950525118</v>
      </c>
      <c r="P7" s="4">
        <f t="shared" si="5"/>
        <v>2179.98172043468</v>
      </c>
      <c r="Q7" s="4">
        <f t="shared" si="6"/>
        <v>960.452661111615</v>
      </c>
      <c r="R7" s="4">
        <f t="shared" si="7"/>
        <v>3140.43438154629</v>
      </c>
      <c r="S7" s="4">
        <f t="shared" si="8"/>
        <v>10413.6548024432</v>
      </c>
      <c r="T7" s="4">
        <f t="shared" si="9"/>
        <v>0.0147672659949546</v>
      </c>
      <c r="U7" s="24">
        <f t="shared" si="10"/>
        <v>0.11284</v>
      </c>
      <c r="V7" s="4">
        <f t="shared" si="11"/>
        <v>171.13388223419</v>
      </c>
      <c r="W7" s="4">
        <f t="shared" si="12"/>
        <v>10242.520920209</v>
      </c>
      <c r="X7" s="2">
        <v>764.344567401344</v>
      </c>
      <c r="Y7" s="2">
        <v>2.50590867299798</v>
      </c>
      <c r="Z7" s="4">
        <f t="shared" si="13"/>
        <v>761.838658728346</v>
      </c>
      <c r="AA7" s="4">
        <f t="shared" si="14"/>
        <v>316.486983809039</v>
      </c>
      <c r="AB7" s="4">
        <f t="shared" si="15"/>
        <v>1078.32564253738</v>
      </c>
      <c r="AC7" s="4">
        <f t="shared" si="16"/>
        <v>3466.46709142146</v>
      </c>
      <c r="AD7" s="4">
        <f t="shared" si="17"/>
        <v>0.000795531586673214</v>
      </c>
      <c r="AE7" s="24">
        <f t="shared" si="18"/>
        <v>0.11284</v>
      </c>
      <c r="AF7" s="4">
        <f t="shared" si="19"/>
        <v>3.06886113532749</v>
      </c>
      <c r="AG7" s="4">
        <f t="shared" si="20"/>
        <v>3463.39823028613</v>
      </c>
      <c r="AH7" s="2">
        <v>24157.0757616389</v>
      </c>
      <c r="AI7" s="2">
        <v>11155.7867271539</v>
      </c>
      <c r="AJ7" s="24">
        <v>0.1314</v>
      </c>
      <c r="AK7" s="4">
        <f t="shared" si="21"/>
        <v>3174.23975507935</v>
      </c>
      <c r="AL7" s="4">
        <f t="shared" si="29"/>
        <v>27331.3155167182</v>
      </c>
      <c r="AM7" s="4">
        <f t="shared" si="22"/>
        <v>293082.855673412</v>
      </c>
      <c r="AN7" s="4">
        <f t="shared" si="23"/>
        <v>0.0384803559280779</v>
      </c>
      <c r="AO7" s="4">
        <v>0</v>
      </c>
      <c r="AP7" s="4">
        <f t="shared" si="3"/>
        <v>11277.9326027304</v>
      </c>
      <c r="AQ7" s="4">
        <f t="shared" si="4"/>
        <v>281804.923070681</v>
      </c>
      <c r="AR7" s="15">
        <v>0.1634</v>
      </c>
      <c r="AS7" s="4">
        <f t="shared" si="24"/>
        <v>4451.1794</v>
      </c>
      <c r="AT7" s="3">
        <f t="shared" si="0"/>
        <v>12381.48</v>
      </c>
      <c r="AU7" s="3">
        <v>10550</v>
      </c>
      <c r="AV7" s="23">
        <v>0.1736</v>
      </c>
      <c r="AW7" s="2">
        <v>47.42175</v>
      </c>
      <c r="AX7" s="3">
        <v>58.71076</v>
      </c>
      <c r="AY7" s="3">
        <v>39.9342</v>
      </c>
      <c r="AZ7" s="3">
        <v>52.13026</v>
      </c>
      <c r="BA7" s="3">
        <v>106.51008</v>
      </c>
      <c r="BB7" s="3">
        <v>178.8799</v>
      </c>
      <c r="BC7" s="15">
        <f t="shared" si="25"/>
        <v>35499168845.8882</v>
      </c>
      <c r="BD7" s="15">
        <f t="shared" si="26"/>
        <v>16325310635.6522</v>
      </c>
      <c r="BE7" s="15">
        <f t="shared" si="27"/>
        <v>704540074968.074</v>
      </c>
      <c r="BF7" s="11">
        <f t="shared" si="28"/>
        <v>7.56364554449614</v>
      </c>
    </row>
    <row r="8" spans="1:58">
      <c r="A8" s="2">
        <v>2024</v>
      </c>
      <c r="B8" s="2">
        <v>27993</v>
      </c>
      <c r="C8" s="7">
        <f t="shared" si="1"/>
        <v>0.151921549573801</v>
      </c>
      <c r="D8" s="8">
        <v>0.117148866299154</v>
      </c>
      <c r="E8" s="8">
        <v>0.0347726832746464</v>
      </c>
      <c r="F8" s="9">
        <v>0.848078450426199</v>
      </c>
      <c r="G8" s="2">
        <v>306166</v>
      </c>
      <c r="H8" s="4">
        <f t="shared" si="2"/>
        <v>16506.4772076612</v>
      </c>
      <c r="I8" s="2">
        <v>12386.0870320505</v>
      </c>
      <c r="J8" s="2">
        <v>4120.39017561064</v>
      </c>
      <c r="K8" s="2">
        <v>289658.978149812</v>
      </c>
      <c r="L8" s="17">
        <v>4252.7399372194</v>
      </c>
      <c r="M8" s="17">
        <v>207.341119304139</v>
      </c>
      <c r="N8" s="2">
        <v>3279.34821431223</v>
      </c>
      <c r="O8" s="2">
        <v>206.865373068174</v>
      </c>
      <c r="P8" s="4">
        <f t="shared" si="5"/>
        <v>3072.48284124405</v>
      </c>
      <c r="Q8" s="4">
        <f t="shared" si="6"/>
        <v>1121.65196157901</v>
      </c>
      <c r="R8" s="4">
        <f t="shared" si="7"/>
        <v>4194.13480282306</v>
      </c>
      <c r="S8" s="4">
        <f t="shared" si="8"/>
        <v>13714.6043666977</v>
      </c>
      <c r="T8" s="4">
        <f t="shared" si="9"/>
        <v>0.0164270749553607</v>
      </c>
      <c r="U8" s="24">
        <f t="shared" si="10"/>
        <v>0.11284</v>
      </c>
      <c r="V8" s="4">
        <f t="shared" si="11"/>
        <v>250.712651613813</v>
      </c>
      <c r="W8" s="4">
        <f t="shared" si="12"/>
        <v>13463.8917150839</v>
      </c>
      <c r="X8" s="2">
        <v>973.391722907178</v>
      </c>
      <c r="Y8" s="2">
        <v>0.475746235962106</v>
      </c>
      <c r="Z8" s="4">
        <f t="shared" si="13"/>
        <v>972.915976671216</v>
      </c>
      <c r="AA8" s="4">
        <f t="shared" si="14"/>
        <v>332.934066171619</v>
      </c>
      <c r="AB8" s="4">
        <f t="shared" si="15"/>
        <v>1305.85004284284</v>
      </c>
      <c r="AC8" s="4">
        <f t="shared" si="16"/>
        <v>4453.79998801822</v>
      </c>
      <c r="AD8" s="4">
        <f t="shared" si="17"/>
        <v>0.000115448123036461</v>
      </c>
      <c r="AE8" s="24">
        <f t="shared" si="18"/>
        <v>0.11284</v>
      </c>
      <c r="AF8" s="4">
        <f t="shared" si="19"/>
        <v>0.572203241677283</v>
      </c>
      <c r="AG8" s="4">
        <f t="shared" si="20"/>
        <v>4453.22778477654</v>
      </c>
      <c r="AH8" s="2">
        <v>23740.2600627806</v>
      </c>
      <c r="AI8" s="2">
        <v>12834.1111041472</v>
      </c>
      <c r="AJ8" s="24">
        <v>0.1314</v>
      </c>
      <c r="AK8" s="4">
        <f t="shared" si="21"/>
        <v>3119.47017224937</v>
      </c>
      <c r="AL8" s="4">
        <f t="shared" si="29"/>
        <v>26859.73023503</v>
      </c>
      <c r="AM8" s="4">
        <f t="shared" si="22"/>
        <v>305612.559426208</v>
      </c>
      <c r="AN8" s="4">
        <f t="shared" si="23"/>
        <v>0.0424277828488581</v>
      </c>
      <c r="AO8" s="4">
        <v>0</v>
      </c>
      <c r="AP8" s="4">
        <f t="shared" si="3"/>
        <v>12966.4633072189</v>
      </c>
      <c r="AQ8" s="4">
        <f t="shared" si="4"/>
        <v>292646.09611899</v>
      </c>
      <c r="AR8" s="15">
        <v>0.1634</v>
      </c>
      <c r="AS8" s="4">
        <f t="shared" si="24"/>
        <v>4574.0562</v>
      </c>
      <c r="AT8" s="3">
        <f t="shared" si="0"/>
        <v>12428.424</v>
      </c>
      <c r="AU8" s="3">
        <v>10590</v>
      </c>
      <c r="AV8" s="23">
        <v>0.1736</v>
      </c>
      <c r="AW8" s="2">
        <v>44.25577</v>
      </c>
      <c r="AX8" s="3">
        <v>55.75627</v>
      </c>
      <c r="AY8" s="3">
        <v>37.98595</v>
      </c>
      <c r="AZ8" s="3">
        <v>40.59125</v>
      </c>
      <c r="BA8" s="3">
        <v>93.18575</v>
      </c>
      <c r="BB8" s="3">
        <v>171.22905</v>
      </c>
      <c r="BC8" s="15">
        <f t="shared" si="25"/>
        <v>43102532166.8238</v>
      </c>
      <c r="BD8" s="15">
        <f t="shared" si="26"/>
        <v>18731092630.3534</v>
      </c>
      <c r="BE8" s="15">
        <f t="shared" si="27"/>
        <v>692733185861.419</v>
      </c>
      <c r="BF8" s="11">
        <f t="shared" si="28"/>
        <v>7.54566810658596</v>
      </c>
    </row>
    <row r="9" spans="1:58">
      <c r="A9" s="2">
        <v>2025</v>
      </c>
      <c r="B9" s="2">
        <v>28671</v>
      </c>
      <c r="C9" s="7">
        <f t="shared" si="1"/>
        <v>0.209462516960962</v>
      </c>
      <c r="D9" s="8">
        <v>0.164993883786381</v>
      </c>
      <c r="E9" s="8">
        <v>0.0445686331745817</v>
      </c>
      <c r="F9" s="9">
        <v>0.790537483039038</v>
      </c>
      <c r="G9" s="2">
        <v>320049</v>
      </c>
      <c r="H9" s="4">
        <f t="shared" si="2"/>
        <v>22278.4307772384</v>
      </c>
      <c r="I9" s="2">
        <v>16880.7057955733</v>
      </c>
      <c r="J9" s="2">
        <v>5397.72498166505</v>
      </c>
      <c r="K9" s="2">
        <v>297770.377292236</v>
      </c>
      <c r="L9" s="17">
        <v>6008.36692378775</v>
      </c>
      <c r="M9" s="17">
        <v>236.413354210563</v>
      </c>
      <c r="N9" s="2">
        <v>4730.53964203932</v>
      </c>
      <c r="O9" s="2">
        <v>235.920878516539</v>
      </c>
      <c r="P9" s="4">
        <f t="shared" si="5"/>
        <v>4494.61876352278</v>
      </c>
      <c r="Q9" s="4">
        <f t="shared" si="6"/>
        <v>1343.64526569601</v>
      </c>
      <c r="R9" s="4">
        <f t="shared" si="7"/>
        <v>5838.26402921879</v>
      </c>
      <c r="S9" s="4">
        <f t="shared" si="8"/>
        <v>18460.2719397859</v>
      </c>
      <c r="T9" s="4">
        <f t="shared" si="9"/>
        <v>0.0137831409779862</v>
      </c>
      <c r="U9" s="24">
        <f t="shared" si="10"/>
        <v>0.11284</v>
      </c>
      <c r="V9" s="4">
        <f t="shared" si="11"/>
        <v>283.151600115227</v>
      </c>
      <c r="W9" s="4">
        <f t="shared" si="12"/>
        <v>18177.1203396707</v>
      </c>
      <c r="X9" s="2">
        <v>1277.82728174843</v>
      </c>
      <c r="Y9" s="2">
        <v>0.492475694025416</v>
      </c>
      <c r="Z9" s="4">
        <f t="shared" si="13"/>
        <v>1277.33480605441</v>
      </c>
      <c r="AA9" s="4">
        <f t="shared" si="14"/>
        <v>362.9494111497</v>
      </c>
      <c r="AB9" s="4">
        <f t="shared" si="15"/>
        <v>1640.28421720411</v>
      </c>
      <c r="AC9" s="4">
        <f t="shared" si="16"/>
        <v>5761.16686850878</v>
      </c>
      <c r="AD9" s="4">
        <f t="shared" si="17"/>
        <v>9.12293174396026e-5</v>
      </c>
      <c r="AE9" s="24">
        <f t="shared" si="18"/>
        <v>0.11284</v>
      </c>
      <c r="AF9" s="4">
        <f t="shared" si="19"/>
        <v>0.584894594379215</v>
      </c>
      <c r="AG9" s="4">
        <f t="shared" si="20"/>
        <v>5760.5819739144</v>
      </c>
      <c r="AH9" s="2">
        <v>22665.5001762122</v>
      </c>
      <c r="AI9" s="2">
        <v>14554.101033788</v>
      </c>
      <c r="AJ9" s="24">
        <v>0.1314</v>
      </c>
      <c r="AK9" s="4">
        <f t="shared" si="21"/>
        <v>2978.24672315429</v>
      </c>
      <c r="AL9" s="4">
        <f t="shared" si="29"/>
        <v>25643.7468993665</v>
      </c>
      <c r="AM9" s="4">
        <f t="shared" si="22"/>
        <v>315302.725049178</v>
      </c>
      <c r="AN9" s="4">
        <f t="shared" si="23"/>
        <v>0.0465992967051257</v>
      </c>
      <c r="AO9" s="4">
        <v>0</v>
      </c>
      <c r="AP9" s="4">
        <f t="shared" si="3"/>
        <v>14692.8852365013</v>
      </c>
      <c r="AQ9" s="4">
        <f t="shared" si="4"/>
        <v>300609.839812677</v>
      </c>
      <c r="AR9" s="15">
        <v>0.1634</v>
      </c>
      <c r="AS9" s="4">
        <f t="shared" si="24"/>
        <v>4684.8414</v>
      </c>
      <c r="AT9" s="3">
        <f t="shared" si="0"/>
        <v>12522.312</v>
      </c>
      <c r="AU9" s="3">
        <v>10670</v>
      </c>
      <c r="AV9" s="23">
        <v>0.1736</v>
      </c>
      <c r="AW9" s="2">
        <v>41.80587</v>
      </c>
      <c r="AX9" s="3">
        <v>53.40231</v>
      </c>
      <c r="AY9" s="3">
        <v>36.52155</v>
      </c>
      <c r="AZ9" s="3">
        <v>30.68642</v>
      </c>
      <c r="BA9" s="3">
        <v>66.79401</v>
      </c>
      <c r="BB9" s="3">
        <v>165.22307</v>
      </c>
      <c r="BC9" s="15">
        <f t="shared" si="25"/>
        <v>54682926901.6422</v>
      </c>
      <c r="BD9" s="15">
        <f t="shared" si="26"/>
        <v>21271612121.9261</v>
      </c>
      <c r="BE9" s="15">
        <f t="shared" si="27"/>
        <v>679848881067.485</v>
      </c>
      <c r="BF9" s="11">
        <f t="shared" si="28"/>
        <v>7.55803420091053</v>
      </c>
    </row>
    <row r="10" spans="1:58">
      <c r="A10" s="2">
        <v>2026</v>
      </c>
      <c r="B10" s="2">
        <v>29267</v>
      </c>
      <c r="C10" s="7">
        <f t="shared" si="1"/>
        <v>0.226704534021912</v>
      </c>
      <c r="D10" s="8">
        <v>0.175460775773863</v>
      </c>
      <c r="E10" s="8">
        <v>0.0512437582480487</v>
      </c>
      <c r="F10" s="9">
        <v>0.773295465978088</v>
      </c>
      <c r="G10" s="2">
        <v>332813</v>
      </c>
      <c r="H10" s="4">
        <f t="shared" si="2"/>
        <v>28616.7302102575</v>
      </c>
      <c r="I10" s="2">
        <v>21719.2794863226</v>
      </c>
      <c r="J10" s="2">
        <v>6897.45072393496</v>
      </c>
      <c r="K10" s="2">
        <v>304197.063458072</v>
      </c>
      <c r="L10" s="17">
        <v>6634.9615972193</v>
      </c>
      <c r="M10" s="17">
        <v>296.662164200159</v>
      </c>
      <c r="N10" s="2">
        <v>5135.21052457366</v>
      </c>
      <c r="O10" s="2">
        <v>296.636833824425</v>
      </c>
      <c r="P10" s="4">
        <f t="shared" si="5"/>
        <v>4838.57369074924</v>
      </c>
      <c r="Q10" s="4">
        <f t="shared" si="6"/>
        <v>1399.61646575857</v>
      </c>
      <c r="R10" s="4">
        <f t="shared" si="7"/>
        <v>6238.1901565078</v>
      </c>
      <c r="S10" s="4">
        <f t="shared" si="8"/>
        <v>23415.5327859055</v>
      </c>
      <c r="T10" s="4">
        <f t="shared" si="9"/>
        <v>0.0134737446087115</v>
      </c>
      <c r="U10" s="24">
        <f t="shared" si="10"/>
        <v>0.11284</v>
      </c>
      <c r="V10" s="4">
        <f t="shared" si="11"/>
        <v>351.095354124485</v>
      </c>
      <c r="W10" s="4">
        <f t="shared" si="12"/>
        <v>23064.437431781</v>
      </c>
      <c r="X10" s="2">
        <v>1499.75107264564</v>
      </c>
      <c r="Y10" s="2">
        <v>0.0253303757344838</v>
      </c>
      <c r="Z10" s="4">
        <f t="shared" si="13"/>
        <v>1499.72574226991</v>
      </c>
      <c r="AA10" s="4">
        <f t="shared" si="14"/>
        <v>408.761488116047</v>
      </c>
      <c r="AB10" s="4">
        <f t="shared" si="15"/>
        <v>1908.48723038595</v>
      </c>
      <c r="AC10" s="4">
        <f t="shared" si="16"/>
        <v>7306.23754242674</v>
      </c>
      <c r="AD10" s="4">
        <f t="shared" si="17"/>
        <v>3.67241227588651e-6</v>
      </c>
      <c r="AE10" s="24">
        <f t="shared" si="18"/>
        <v>0.11284</v>
      </c>
      <c r="AF10" s="4">
        <f t="shared" si="19"/>
        <v>0.0298591847565929</v>
      </c>
      <c r="AG10" s="4">
        <f t="shared" si="20"/>
        <v>7306.20768324198</v>
      </c>
      <c r="AH10" s="2">
        <v>22632.0384027807</v>
      </c>
      <c r="AI10" s="2">
        <v>16205.3522369444</v>
      </c>
      <c r="AJ10" s="24">
        <v>0.1314</v>
      </c>
      <c r="AK10" s="4">
        <f t="shared" si="21"/>
        <v>2973.84984612538</v>
      </c>
      <c r="AL10" s="4">
        <f t="shared" si="29"/>
        <v>25605.8882489061</v>
      </c>
      <c r="AM10" s="4">
        <f t="shared" si="22"/>
        <v>323376.265541142</v>
      </c>
      <c r="AN10" s="4">
        <f t="shared" si="23"/>
        <v>0.05057812127225</v>
      </c>
      <c r="AO10" s="4">
        <v>0</v>
      </c>
      <c r="AP10" s="4">
        <f t="shared" si="3"/>
        <v>16355.7639751072</v>
      </c>
      <c r="AQ10" s="4">
        <f t="shared" si="4"/>
        <v>307020.501566035</v>
      </c>
      <c r="AR10" s="15">
        <v>0.1634</v>
      </c>
      <c r="AS10" s="4">
        <f t="shared" si="24"/>
        <v>4782.2278</v>
      </c>
      <c r="AT10" s="3">
        <f t="shared" si="0"/>
        <v>12663.144</v>
      </c>
      <c r="AU10" s="3">
        <v>10790</v>
      </c>
      <c r="AV10" s="23">
        <v>0.1736</v>
      </c>
      <c r="AW10" s="2">
        <v>39.82715</v>
      </c>
      <c r="AX10" s="3">
        <v>51.47193</v>
      </c>
      <c r="AY10" s="3">
        <v>35.33566</v>
      </c>
      <c r="AZ10" s="3">
        <v>23.45231</v>
      </c>
      <c r="BA10" s="3">
        <v>40.25758</v>
      </c>
      <c r="BB10" s="3">
        <v>160.34636</v>
      </c>
      <c r="BC10" s="15">
        <f t="shared" si="25"/>
        <v>56285995417.101</v>
      </c>
      <c r="BD10" s="15">
        <f t="shared" si="26"/>
        <v>22383791942.8577</v>
      </c>
      <c r="BE10" s="15">
        <f t="shared" si="27"/>
        <v>677629633977.319</v>
      </c>
      <c r="BF10" s="11">
        <f t="shared" si="28"/>
        <v>7.56299421337278</v>
      </c>
    </row>
    <row r="11" spans="1:58">
      <c r="A11" s="2">
        <v>2027</v>
      </c>
      <c r="B11" s="2">
        <v>29821</v>
      </c>
      <c r="C11" s="7">
        <f t="shared" si="1"/>
        <v>0.245642519234013</v>
      </c>
      <c r="D11" s="8">
        <v>0.186948865151382</v>
      </c>
      <c r="E11" s="8">
        <v>0.0586936540826313</v>
      </c>
      <c r="F11" s="9">
        <v>0.754357480765987</v>
      </c>
      <c r="G11" s="2">
        <v>344472</v>
      </c>
      <c r="H11" s="4">
        <f t="shared" si="2"/>
        <v>35569.8505367146</v>
      </c>
      <c r="I11" s="2">
        <v>26928.1597531463</v>
      </c>
      <c r="J11" s="2">
        <v>8641.69078356824</v>
      </c>
      <c r="K11" s="2">
        <v>308902.257462042</v>
      </c>
      <c r="L11" s="17">
        <v>7325.30556607752</v>
      </c>
      <c r="M11" s="17">
        <v>372.18523962047</v>
      </c>
      <c r="N11" s="2">
        <v>5575.00210767937</v>
      </c>
      <c r="O11" s="2">
        <v>366.121840855609</v>
      </c>
      <c r="P11" s="4">
        <f t="shared" si="5"/>
        <v>5208.88026682376</v>
      </c>
      <c r="Q11" s="4">
        <f t="shared" si="6"/>
        <v>1458.81418359945</v>
      </c>
      <c r="R11" s="4">
        <f t="shared" si="7"/>
        <v>6667.69445042321</v>
      </c>
      <c r="S11" s="4">
        <f t="shared" si="8"/>
        <v>28753.0957776014</v>
      </c>
      <c r="T11" s="4">
        <f t="shared" si="9"/>
        <v>0.0134138661827269</v>
      </c>
      <c r="U11" s="24">
        <f t="shared" si="10"/>
        <v>0.11284</v>
      </c>
      <c r="V11" s="4">
        <f t="shared" si="11"/>
        <v>429.211458909505</v>
      </c>
      <c r="W11" s="4">
        <f t="shared" si="12"/>
        <v>28323.8843186919</v>
      </c>
      <c r="X11" s="2">
        <v>1750.30345839815</v>
      </c>
      <c r="Y11" s="2">
        <v>6.06339876486527</v>
      </c>
      <c r="Z11" s="4">
        <f t="shared" si="13"/>
        <v>1744.24005963328</v>
      </c>
      <c r="AA11" s="4">
        <f t="shared" si="14"/>
        <v>458.002967783136</v>
      </c>
      <c r="AB11" s="4">
        <f t="shared" si="15"/>
        <v>2202.24302741642</v>
      </c>
      <c r="AC11" s="4">
        <f t="shared" si="16"/>
        <v>9105.75715011624</v>
      </c>
      <c r="AD11" s="4">
        <f t="shared" si="17"/>
        <v>0.000701152997301018</v>
      </c>
      <c r="AE11" s="24">
        <f t="shared" si="18"/>
        <v>0.11284</v>
      </c>
      <c r="AF11" s="4">
        <f t="shared" si="19"/>
        <v>7.10495916166263</v>
      </c>
      <c r="AG11" s="4">
        <f t="shared" si="20"/>
        <v>9098.65219095458</v>
      </c>
      <c r="AH11" s="2">
        <v>22495.6944339225</v>
      </c>
      <c r="AI11" s="2">
        <v>17790.5004299529</v>
      </c>
      <c r="AJ11" s="24">
        <v>0.1314</v>
      </c>
      <c r="AK11" s="4">
        <f t="shared" si="21"/>
        <v>2955.93424861741</v>
      </c>
      <c r="AL11" s="4">
        <f t="shared" si="29"/>
        <v>25451.6286825399</v>
      </c>
      <c r="AM11" s="4">
        <f t="shared" si="22"/>
        <v>329648.692140612</v>
      </c>
      <c r="AN11" s="4">
        <f t="shared" si="23"/>
        <v>0.0544563661121451</v>
      </c>
      <c r="AO11" s="4">
        <v>0</v>
      </c>
      <c r="AP11" s="4">
        <f t="shared" si="3"/>
        <v>17951.469867599</v>
      </c>
      <c r="AQ11" s="4">
        <f t="shared" si="4"/>
        <v>311697.222273013</v>
      </c>
      <c r="AR11" s="15">
        <v>0.1634</v>
      </c>
      <c r="AS11" s="4">
        <f t="shared" si="24"/>
        <v>4872.7514</v>
      </c>
      <c r="AT11" s="3">
        <f t="shared" si="0"/>
        <v>12839.184</v>
      </c>
      <c r="AU11" s="3">
        <v>10940</v>
      </c>
      <c r="AV11" s="23">
        <v>0.1736</v>
      </c>
      <c r="AW11" s="2">
        <v>38.09681</v>
      </c>
      <c r="AX11" s="3">
        <v>49.73486</v>
      </c>
      <c r="AY11" s="3">
        <v>34.24905</v>
      </c>
      <c r="AZ11" s="3">
        <v>19.34941</v>
      </c>
      <c r="BA11" s="3">
        <v>37.03209</v>
      </c>
      <c r="BB11" s="3">
        <v>156.69066</v>
      </c>
      <c r="BC11" s="15">
        <f t="shared" si="25"/>
        <v>58643485111.4007</v>
      </c>
      <c r="BD11" s="15">
        <f t="shared" si="26"/>
        <v>25419861771.8335</v>
      </c>
      <c r="BE11" s="15">
        <f t="shared" si="27"/>
        <v>677355078007.099</v>
      </c>
      <c r="BF11" s="11">
        <f t="shared" si="28"/>
        <v>7.61418424890333</v>
      </c>
    </row>
    <row r="12" spans="1:58">
      <c r="A12" s="2">
        <v>2028</v>
      </c>
      <c r="B12" s="2">
        <v>30337</v>
      </c>
      <c r="C12" s="7">
        <f t="shared" si="1"/>
        <v>0.266837869996607</v>
      </c>
      <c r="D12" s="8">
        <v>0.196592723750158</v>
      </c>
      <c r="E12" s="8">
        <v>0.0702451462464487</v>
      </c>
      <c r="F12" s="9">
        <v>0.733162130003393</v>
      </c>
      <c r="G12" s="2">
        <v>355083</v>
      </c>
      <c r="H12" s="4">
        <f t="shared" si="2"/>
        <v>43186.7966272484</v>
      </c>
      <c r="I12" s="2">
        <v>32429.9416267001</v>
      </c>
      <c r="J12" s="2">
        <v>10756.8550005483</v>
      </c>
      <c r="K12" s="2">
        <v>311896.164483548</v>
      </c>
      <c r="L12" s="17">
        <v>8095.06046208706</v>
      </c>
      <c r="M12" s="17">
        <v>478.114371553238</v>
      </c>
      <c r="N12" s="2">
        <v>5964.03346040854</v>
      </c>
      <c r="O12" s="2">
        <v>462.251586854793</v>
      </c>
      <c r="P12" s="4">
        <f t="shared" si="5"/>
        <v>5501.78187355375</v>
      </c>
      <c r="Q12" s="4">
        <f t="shared" si="6"/>
        <v>1498.89882867337</v>
      </c>
      <c r="R12" s="4">
        <f t="shared" si="7"/>
        <v>7000.68070222712</v>
      </c>
      <c r="S12" s="4">
        <f t="shared" si="8"/>
        <v>34391.0920422282</v>
      </c>
      <c r="T12" s="4">
        <f t="shared" si="9"/>
        <v>0.0140535349483567</v>
      </c>
      <c r="U12" s="24">
        <f t="shared" si="10"/>
        <v>0.11284</v>
      </c>
      <c r="V12" s="4">
        <f t="shared" si="11"/>
        <v>537.853838075197</v>
      </c>
      <c r="W12" s="4">
        <f t="shared" si="12"/>
        <v>33853.238204153</v>
      </c>
      <c r="X12" s="2">
        <v>2131.02700167852</v>
      </c>
      <c r="Y12" s="2">
        <v>15.8627846984309</v>
      </c>
      <c r="Z12" s="4">
        <f t="shared" si="13"/>
        <v>2115.16421698008</v>
      </c>
      <c r="AA12" s="4">
        <f t="shared" si="14"/>
        <v>535.576116044869</v>
      </c>
      <c r="AB12" s="4">
        <f t="shared" si="15"/>
        <v>2650.74033302495</v>
      </c>
      <c r="AC12" s="4">
        <f t="shared" si="16"/>
        <v>11308.2939012916</v>
      </c>
      <c r="AD12" s="4">
        <f t="shared" si="17"/>
        <v>0.00147249607895187</v>
      </c>
      <c r="AE12" s="24">
        <f t="shared" si="18"/>
        <v>0.11284</v>
      </c>
      <c r="AF12" s="4">
        <f t="shared" si="19"/>
        <v>18.530364484848</v>
      </c>
      <c r="AG12" s="4">
        <f t="shared" si="20"/>
        <v>11289.7635368068</v>
      </c>
      <c r="AH12" s="2">
        <v>22241.9395379129</v>
      </c>
      <c r="AI12" s="2">
        <v>19248.0325164067</v>
      </c>
      <c r="AJ12" s="24">
        <v>0.1314</v>
      </c>
      <c r="AK12" s="4">
        <f t="shared" si="21"/>
        <v>2922.59085528176</v>
      </c>
      <c r="AL12" s="4">
        <f t="shared" si="29"/>
        <v>25164.5303931947</v>
      </c>
      <c r="AM12" s="4">
        <f t="shared" si="22"/>
        <v>334066.787855237</v>
      </c>
      <c r="AN12" s="4">
        <f t="shared" si="23"/>
        <v>0.0581258336724208</v>
      </c>
      <c r="AO12" s="4">
        <v>0</v>
      </c>
      <c r="AP12" s="4">
        <f t="shared" si="3"/>
        <v>19417.9105463534</v>
      </c>
      <c r="AQ12" s="4">
        <f t="shared" si="4"/>
        <v>314648.877308883</v>
      </c>
      <c r="AR12" s="15">
        <v>0.1634</v>
      </c>
      <c r="AS12" s="4">
        <f t="shared" si="24"/>
        <v>4957.0658</v>
      </c>
      <c r="AT12" s="3">
        <f t="shared" si="0"/>
        <v>13026.96</v>
      </c>
      <c r="AU12" s="3">
        <v>11100</v>
      </c>
      <c r="AV12" s="23">
        <v>0.1736</v>
      </c>
      <c r="AW12" s="2">
        <v>36.53956</v>
      </c>
      <c r="AX12" s="3">
        <v>48.18863</v>
      </c>
      <c r="AY12" s="3">
        <v>33.334</v>
      </c>
      <c r="AZ12" s="3">
        <v>16.77433</v>
      </c>
      <c r="BA12" s="3">
        <v>34.87811</v>
      </c>
      <c r="BB12" s="3">
        <v>153.97254</v>
      </c>
      <c r="BC12" s="15">
        <f t="shared" si="25"/>
        <v>60682827581.1784</v>
      </c>
      <c r="BD12" s="15">
        <f t="shared" si="26"/>
        <v>30089656465.2312</v>
      </c>
      <c r="BE12" s="15">
        <f t="shared" si="27"/>
        <v>677430820951.212</v>
      </c>
      <c r="BF12" s="11">
        <f t="shared" si="28"/>
        <v>7.68203304997622</v>
      </c>
    </row>
    <row r="13" spans="1:58">
      <c r="A13" s="2">
        <v>2029</v>
      </c>
      <c r="B13" s="2">
        <v>30767</v>
      </c>
      <c r="C13" s="7">
        <f t="shared" si="1"/>
        <v>0.290225747149396</v>
      </c>
      <c r="D13" s="8">
        <v>0.207531450925898</v>
      </c>
      <c r="E13" s="8">
        <v>0.0826942962234978</v>
      </c>
      <c r="F13" s="9">
        <v>0.709774252850604</v>
      </c>
      <c r="G13" s="2">
        <v>364714</v>
      </c>
      <c r="H13" s="4">
        <f t="shared" si="2"/>
        <v>51490.7117876278</v>
      </c>
      <c r="I13" s="2">
        <v>38222.9426280635</v>
      </c>
      <c r="J13" s="2">
        <v>13267.7691595642</v>
      </c>
      <c r="K13" s="2">
        <v>313224.082259062</v>
      </c>
      <c r="L13" s="17">
        <v>8929.37556254546</v>
      </c>
      <c r="M13" s="17">
        <v>625.460402166056</v>
      </c>
      <c r="N13" s="2">
        <v>6385.1201506371</v>
      </c>
      <c r="O13" s="2">
        <v>592.119149273611</v>
      </c>
      <c r="P13" s="4">
        <f t="shared" si="5"/>
        <v>5793.00100136349</v>
      </c>
      <c r="Q13" s="4">
        <f t="shared" si="6"/>
        <v>1543.02173607367</v>
      </c>
      <c r="R13" s="4">
        <f t="shared" si="7"/>
        <v>7336.02273743716</v>
      </c>
      <c r="S13" s="4">
        <f t="shared" si="8"/>
        <v>40358.0835134108</v>
      </c>
      <c r="T13" s="4">
        <f t="shared" si="9"/>
        <v>0.0152548810219679</v>
      </c>
      <c r="U13" s="24">
        <f t="shared" si="10"/>
        <v>0.11284</v>
      </c>
      <c r="V13" s="4">
        <f t="shared" si="11"/>
        <v>685.128584166467</v>
      </c>
      <c r="W13" s="4">
        <f t="shared" si="12"/>
        <v>39672.9549292443</v>
      </c>
      <c r="X13" s="2">
        <v>2544.25541190836</v>
      </c>
      <c r="Y13" s="2">
        <v>33.3412528924491</v>
      </c>
      <c r="Z13" s="4">
        <f t="shared" si="13"/>
        <v>2510.91415901591</v>
      </c>
      <c r="AA13" s="4">
        <f t="shared" si="14"/>
        <v>614.842212844804</v>
      </c>
      <c r="AB13" s="4">
        <f t="shared" si="15"/>
        <v>3125.75637186071</v>
      </c>
      <c r="AC13" s="4">
        <f t="shared" si="16"/>
        <v>13915.9526253015</v>
      </c>
      <c r="AD13" s="4">
        <f t="shared" si="17"/>
        <v>0.00250665184022716</v>
      </c>
      <c r="AE13" s="24">
        <f t="shared" si="18"/>
        <v>0.11284</v>
      </c>
      <c r="AF13" s="4">
        <f t="shared" si="19"/>
        <v>38.8185837180149</v>
      </c>
      <c r="AG13" s="4">
        <f t="shared" si="20"/>
        <v>13877.1340415835</v>
      </c>
      <c r="AH13" s="2">
        <v>21837.6244374545</v>
      </c>
      <c r="AI13" s="2">
        <v>20509.7066619407</v>
      </c>
      <c r="AJ13" s="24">
        <v>0.1314</v>
      </c>
      <c r="AK13" s="4">
        <f t="shared" si="21"/>
        <v>2869.46385108153</v>
      </c>
      <c r="AL13" s="4">
        <f t="shared" si="29"/>
        <v>24707.0882885361</v>
      </c>
      <c r="AM13" s="4">
        <f t="shared" si="22"/>
        <v>336603.252772084</v>
      </c>
      <c r="AN13" s="4">
        <f t="shared" si="23"/>
        <v>0.0614552896434333</v>
      </c>
      <c r="AO13" s="4">
        <v>0</v>
      </c>
      <c r="AP13" s="4">
        <f t="shared" si="3"/>
        <v>20686.0503940302</v>
      </c>
      <c r="AQ13" s="4">
        <f t="shared" si="4"/>
        <v>315917.202378054</v>
      </c>
      <c r="AR13" s="15">
        <v>0.1634</v>
      </c>
      <c r="AS13" s="4">
        <f t="shared" si="24"/>
        <v>5027.3278</v>
      </c>
      <c r="AT13" s="3">
        <f t="shared" si="0"/>
        <v>13226.472</v>
      </c>
      <c r="AU13" s="3">
        <v>11270</v>
      </c>
      <c r="AV13" s="23">
        <v>0.1736</v>
      </c>
      <c r="AW13" s="2">
        <v>35.08596</v>
      </c>
      <c r="AX13" s="3">
        <v>46.82755</v>
      </c>
      <c r="AY13" s="3">
        <v>32.43809</v>
      </c>
      <c r="AZ13" s="3">
        <v>14.92374</v>
      </c>
      <c r="BA13" s="3">
        <v>33.3221</v>
      </c>
      <c r="BB13" s="3">
        <v>151.80099</v>
      </c>
      <c r="BC13" s="15">
        <f t="shared" si="25"/>
        <v>63018397482.6259</v>
      </c>
      <c r="BD13" s="15">
        <f t="shared" si="26"/>
        <v>35155803066.2547</v>
      </c>
      <c r="BE13" s="15">
        <f t="shared" si="27"/>
        <v>675955501656.731</v>
      </c>
      <c r="BF13" s="11">
        <f t="shared" si="28"/>
        <v>7.74129702205611</v>
      </c>
    </row>
    <row r="14" spans="1:58">
      <c r="A14" s="2">
        <v>2030</v>
      </c>
      <c r="B14" s="2">
        <v>31057</v>
      </c>
      <c r="C14" s="7">
        <f t="shared" si="1"/>
        <v>0.319517234323311</v>
      </c>
      <c r="D14" s="8">
        <v>0.225845567788596</v>
      </c>
      <c r="E14" s="8">
        <v>0.0936716665347149</v>
      </c>
      <c r="F14" s="9">
        <v>0.680482765676689</v>
      </c>
      <c r="G14" s="2">
        <v>373443</v>
      </c>
      <c r="H14" s="4">
        <f t="shared" si="2"/>
        <v>60592.0177566786</v>
      </c>
      <c r="I14" s="2">
        <v>44478.7183957898</v>
      </c>
      <c r="J14" s="2">
        <v>16113.2993608888</v>
      </c>
      <c r="K14" s="2">
        <v>312850.810593583</v>
      </c>
      <c r="L14" s="17">
        <v>9923.24674637907</v>
      </c>
      <c r="M14" s="17">
        <v>821.940777328295</v>
      </c>
      <c r="N14" s="2">
        <v>7014.08579881043</v>
      </c>
      <c r="O14" s="2">
        <v>758.310031084213</v>
      </c>
      <c r="P14" s="4">
        <f t="shared" si="5"/>
        <v>6255.77576772622</v>
      </c>
      <c r="Q14" s="4">
        <f t="shared" si="6"/>
        <v>1624.11922762632</v>
      </c>
      <c r="R14" s="4">
        <f t="shared" si="7"/>
        <v>7879.89499535254</v>
      </c>
      <c r="S14" s="4">
        <f t="shared" si="8"/>
        <v>46861.1476545003</v>
      </c>
      <c r="T14" s="4">
        <f t="shared" si="9"/>
        <v>0.0167630381007459</v>
      </c>
      <c r="U14" s="24">
        <f t="shared" si="10"/>
        <v>0.11284</v>
      </c>
      <c r="V14" s="4">
        <f t="shared" si="11"/>
        <v>874.174995948704</v>
      </c>
      <c r="W14" s="4">
        <f t="shared" si="12"/>
        <v>45986.9726585516</v>
      </c>
      <c r="X14" s="2">
        <v>2909.16094756864</v>
      </c>
      <c r="Y14" s="2">
        <v>63.6307462440818</v>
      </c>
      <c r="Z14" s="4">
        <f t="shared" si="13"/>
        <v>2845.53020132456</v>
      </c>
      <c r="AA14" s="4">
        <f t="shared" si="14"/>
        <v>673.619394847887</v>
      </c>
      <c r="AB14" s="4">
        <f t="shared" si="15"/>
        <v>3519.14959617245</v>
      </c>
      <c r="AC14" s="4">
        <f t="shared" si="16"/>
        <v>16850.5495019808</v>
      </c>
      <c r="AD14" s="4">
        <f t="shared" si="17"/>
        <v>0.00393342530521444</v>
      </c>
      <c r="AE14" s="24">
        <f t="shared" si="18"/>
        <v>0.11284</v>
      </c>
      <c r="AF14" s="4">
        <f t="shared" si="19"/>
        <v>73.7594556508272</v>
      </c>
      <c r="AG14" s="4">
        <f t="shared" si="20"/>
        <v>16776.79004633</v>
      </c>
      <c r="AH14" s="2">
        <v>21133.7532536209</v>
      </c>
      <c r="AI14" s="2">
        <v>21507.0249190999</v>
      </c>
      <c r="AJ14" s="24">
        <v>0.1314</v>
      </c>
      <c r="AK14" s="4">
        <f t="shared" si="21"/>
        <v>2776.97517752579</v>
      </c>
      <c r="AL14" s="4">
        <f t="shared" si="29"/>
        <v>23910.7284311467</v>
      </c>
      <c r="AM14" s="4">
        <f t="shared" si="22"/>
        <v>337134.810690209</v>
      </c>
      <c r="AN14" s="4">
        <f t="shared" si="23"/>
        <v>0.0643233764392643</v>
      </c>
      <c r="AO14" s="4">
        <v>0</v>
      </c>
      <c r="AP14" s="4">
        <f t="shared" si="3"/>
        <v>21685.6493388064</v>
      </c>
      <c r="AQ14" s="4">
        <f t="shared" si="4"/>
        <v>315449.161351402</v>
      </c>
      <c r="AR14" s="15">
        <v>0.1634</v>
      </c>
      <c r="AS14" s="4">
        <f t="shared" si="24"/>
        <v>5074.7138</v>
      </c>
      <c r="AT14" s="3">
        <f t="shared" si="0"/>
        <v>13425.984</v>
      </c>
      <c r="AU14" s="3">
        <v>11440</v>
      </c>
      <c r="AV14" s="23">
        <v>0.1736</v>
      </c>
      <c r="AW14" s="2">
        <v>33.79411</v>
      </c>
      <c r="AX14" s="3">
        <v>45.51457</v>
      </c>
      <c r="AY14" s="3">
        <v>31.55315</v>
      </c>
      <c r="AZ14" s="3">
        <v>13.47114</v>
      </c>
      <c r="BA14" s="3">
        <v>32.17899</v>
      </c>
      <c r="BB14" s="3">
        <v>149.98153</v>
      </c>
      <c r="BC14" s="15">
        <f t="shared" si="25"/>
        <v>67107145635.5715</v>
      </c>
      <c r="BD14" s="15">
        <f t="shared" si="26"/>
        <v>39505271431.5129</v>
      </c>
      <c r="BE14" s="15">
        <f t="shared" si="27"/>
        <v>670709237697.455</v>
      </c>
      <c r="BF14" s="11">
        <f t="shared" si="28"/>
        <v>7.77321654764539</v>
      </c>
    </row>
    <row r="15" spans="1:58">
      <c r="A15" s="2">
        <v>2031</v>
      </c>
      <c r="B15" s="2">
        <v>31116</v>
      </c>
      <c r="C15" s="7">
        <f t="shared" si="1"/>
        <v>0.317245734230146</v>
      </c>
      <c r="D15" s="8">
        <v>0.230191643657115</v>
      </c>
      <c r="E15" s="8">
        <v>0.0870540905730316</v>
      </c>
      <c r="F15" s="9">
        <v>0.682754265769854</v>
      </c>
      <c r="G15" s="2">
        <v>381268</v>
      </c>
      <c r="H15" s="4">
        <f t="shared" si="2"/>
        <v>69389.8780899168</v>
      </c>
      <c r="I15" s="2">
        <v>50698.9260064622</v>
      </c>
      <c r="J15" s="2">
        <v>18690.9520834546</v>
      </c>
      <c r="K15" s="2">
        <v>311878.533692855</v>
      </c>
      <c r="L15" s="17">
        <v>9871.41826630524</v>
      </c>
      <c r="M15" s="17">
        <v>1073.55793306702</v>
      </c>
      <c r="N15" s="2">
        <v>7162.64318403479</v>
      </c>
      <c r="O15" s="2">
        <v>942.435573362338</v>
      </c>
      <c r="P15" s="4">
        <f t="shared" si="5"/>
        <v>6220.20761067245</v>
      </c>
      <c r="Q15" s="4">
        <f t="shared" si="6"/>
        <v>1663.65410030621</v>
      </c>
      <c r="R15" s="4">
        <f t="shared" si="7"/>
        <v>7883.86171097866</v>
      </c>
      <c r="S15" s="4">
        <f t="shared" si="8"/>
        <v>53305.0156801308</v>
      </c>
      <c r="T15" s="4">
        <f t="shared" si="9"/>
        <v>0.0182496267435856</v>
      </c>
      <c r="U15" s="24">
        <f t="shared" si="10"/>
        <v>0.11284</v>
      </c>
      <c r="V15" s="4">
        <f t="shared" si="11"/>
        <v>1082.56701254975</v>
      </c>
      <c r="W15" s="4">
        <f t="shared" si="12"/>
        <v>52222.448667581</v>
      </c>
      <c r="X15" s="2">
        <v>2708.77508227045</v>
      </c>
      <c r="Y15" s="2">
        <v>131.122359704681</v>
      </c>
      <c r="Z15" s="4">
        <f t="shared" si="13"/>
        <v>2577.65272256577</v>
      </c>
      <c r="AA15" s="4">
        <f t="shared" si="14"/>
        <v>629.162259886299</v>
      </c>
      <c r="AB15" s="4">
        <f t="shared" si="15"/>
        <v>3206.81498245207</v>
      </c>
      <c r="AC15" s="4">
        <f t="shared" si="16"/>
        <v>19451.2367030455</v>
      </c>
      <c r="AD15" s="4">
        <f t="shared" si="17"/>
        <v>0.00696641382971134</v>
      </c>
      <c r="AE15" s="24">
        <f t="shared" si="18"/>
        <v>0.11284</v>
      </c>
      <c r="AF15" s="4">
        <f t="shared" si="19"/>
        <v>150.795789688944</v>
      </c>
      <c r="AG15" s="4">
        <f t="shared" si="20"/>
        <v>19300.4409133566</v>
      </c>
      <c r="AH15" s="2">
        <v>21244.5817336948</v>
      </c>
      <c r="AI15" s="2">
        <v>22216.858634423</v>
      </c>
      <c r="AJ15" s="24">
        <v>0.1314</v>
      </c>
      <c r="AK15" s="4">
        <f t="shared" si="21"/>
        <v>2791.53803980749</v>
      </c>
      <c r="AL15" s="4">
        <f t="shared" si="29"/>
        <v>24036.1197735023</v>
      </c>
      <c r="AM15" s="4">
        <f t="shared" si="22"/>
        <v>336886.930367085</v>
      </c>
      <c r="AN15" s="4">
        <f t="shared" si="23"/>
        <v>0.0664985484524716</v>
      </c>
      <c r="AO15" s="4">
        <v>0</v>
      </c>
      <c r="AP15" s="4">
        <f t="shared" si="3"/>
        <v>22402.4918620201</v>
      </c>
      <c r="AQ15" s="4">
        <f t="shared" si="4"/>
        <v>314484.438505065</v>
      </c>
      <c r="AR15" s="15">
        <v>0.1634</v>
      </c>
      <c r="AS15" s="4">
        <f t="shared" si="24"/>
        <v>5084.3544</v>
      </c>
      <c r="AT15" s="3">
        <f t="shared" si="0"/>
        <v>13637.232</v>
      </c>
      <c r="AU15" s="3">
        <v>11620</v>
      </c>
      <c r="AV15" s="23">
        <v>0.1736</v>
      </c>
      <c r="AW15" s="2">
        <v>32.5374</v>
      </c>
      <c r="AX15" s="3">
        <v>44.3772</v>
      </c>
      <c r="AY15" s="3">
        <v>30.67267</v>
      </c>
      <c r="AZ15" s="3">
        <v>12.42924</v>
      </c>
      <c r="BA15" s="3">
        <v>31.30082</v>
      </c>
      <c r="BB15" s="3">
        <v>148.55958</v>
      </c>
      <c r="BC15" s="15">
        <f t="shared" si="25"/>
        <v>67597806537.4435</v>
      </c>
      <c r="BD15" s="15">
        <f t="shared" si="26"/>
        <v>37349128348.3926</v>
      </c>
      <c r="BE15" s="15">
        <f t="shared" si="27"/>
        <v>671385654644.226</v>
      </c>
      <c r="BF15" s="11">
        <f t="shared" si="28"/>
        <v>7.76332589530062</v>
      </c>
    </row>
    <row r="16" spans="1:58">
      <c r="A16" s="2">
        <v>2032</v>
      </c>
      <c r="B16" s="2">
        <v>31274</v>
      </c>
      <c r="C16" s="7">
        <f t="shared" si="1"/>
        <v>0.316312239196366</v>
      </c>
      <c r="D16" s="8">
        <v>0.239768601348979</v>
      </c>
      <c r="E16" s="8">
        <v>0.0765436378473863</v>
      </c>
      <c r="F16" s="9">
        <v>0.683687760803634</v>
      </c>
      <c r="G16" s="2">
        <v>388489</v>
      </c>
      <c r="H16" s="4">
        <f t="shared" si="2"/>
        <v>77903.8683247155</v>
      </c>
      <c r="I16" s="2">
        <v>57040.6383857745</v>
      </c>
      <c r="J16" s="2">
        <v>20863.229938941</v>
      </c>
      <c r="K16" s="2">
        <v>310585.41303932</v>
      </c>
      <c r="L16" s="17">
        <v>9892.34896862714</v>
      </c>
      <c r="M16" s="17">
        <v>1378.35873382838</v>
      </c>
      <c r="N16" s="2">
        <v>7498.52323858798</v>
      </c>
      <c r="O16" s="2">
        <v>1156.81085927568</v>
      </c>
      <c r="P16" s="4">
        <f t="shared" si="5"/>
        <v>6341.7123793123</v>
      </c>
      <c r="Q16" s="4">
        <f t="shared" si="6"/>
        <v>1743.9005126622</v>
      </c>
      <c r="R16" s="4">
        <f t="shared" si="7"/>
        <v>8085.6128919745</v>
      </c>
      <c r="S16" s="4">
        <f t="shared" si="8"/>
        <v>59941.3497577124</v>
      </c>
      <c r="T16" s="4">
        <f t="shared" si="9"/>
        <v>0.0198773464177911</v>
      </c>
      <c r="U16" s="24">
        <f t="shared" si="10"/>
        <v>0.11284</v>
      </c>
      <c r="V16" s="4">
        <f t="shared" si="11"/>
        <v>1325.9210099371</v>
      </c>
      <c r="W16" s="4">
        <f t="shared" si="12"/>
        <v>58615.4287477753</v>
      </c>
      <c r="X16" s="2">
        <v>2393.82573003916</v>
      </c>
      <c r="Y16" s="2">
        <v>221.547874552703</v>
      </c>
      <c r="Z16" s="4">
        <f t="shared" si="13"/>
        <v>2172.27785548645</v>
      </c>
      <c r="AA16" s="4">
        <f t="shared" si="14"/>
        <v>556.722141815402</v>
      </c>
      <c r="AB16" s="4">
        <f t="shared" si="15"/>
        <v>2728.99999730186</v>
      </c>
      <c r="AC16" s="4">
        <f t="shared" si="16"/>
        <v>21641.4999553091</v>
      </c>
      <c r="AD16" s="4">
        <f t="shared" si="17"/>
        <v>0.0105074796856962</v>
      </c>
      <c r="AE16" s="24">
        <f t="shared" si="18"/>
        <v>0.11284</v>
      </c>
      <c r="AF16" s="4">
        <f t="shared" si="19"/>
        <v>253.057168718792</v>
      </c>
      <c r="AG16" s="4">
        <f t="shared" si="20"/>
        <v>21388.4427865903</v>
      </c>
      <c r="AH16" s="2">
        <v>21381.6510313729</v>
      </c>
      <c r="AI16" s="2">
        <v>22674.7716849082</v>
      </c>
      <c r="AJ16" s="24">
        <v>0.1314</v>
      </c>
      <c r="AK16" s="4">
        <f t="shared" si="21"/>
        <v>2809.54894552239</v>
      </c>
      <c r="AL16" s="4">
        <f t="shared" si="29"/>
        <v>24191.1999768953</v>
      </c>
      <c r="AM16" s="4">
        <f t="shared" si="22"/>
        <v>336069.73366975</v>
      </c>
      <c r="AN16" s="4">
        <f t="shared" si="23"/>
        <v>0.0680392459833494</v>
      </c>
      <c r="AO16" s="4">
        <v>0</v>
      </c>
      <c r="AP16" s="4">
        <f t="shared" si="3"/>
        <v>22865.9312767149</v>
      </c>
      <c r="AQ16" s="4">
        <f t="shared" si="4"/>
        <v>313203.802393035</v>
      </c>
      <c r="AR16" s="15">
        <v>0.1634</v>
      </c>
      <c r="AS16" s="4">
        <f t="shared" si="24"/>
        <v>5110.1716</v>
      </c>
      <c r="AT16" s="3">
        <f t="shared" si="0"/>
        <v>13825.008</v>
      </c>
      <c r="AU16" s="3">
        <v>11780</v>
      </c>
      <c r="AV16" s="23">
        <v>0.1736</v>
      </c>
      <c r="AW16" s="2">
        <v>31.37216</v>
      </c>
      <c r="AX16" s="3">
        <v>43.27938</v>
      </c>
      <c r="AY16" s="3">
        <v>29.84067</v>
      </c>
      <c r="AZ16" s="3">
        <v>11.47623</v>
      </c>
      <c r="BA16" s="3">
        <v>30.49787</v>
      </c>
      <c r="BB16" s="3">
        <v>147.27796</v>
      </c>
      <c r="BC16" s="15">
        <f t="shared" si="25"/>
        <v>69429274405.392</v>
      </c>
      <c r="BD16" s="15">
        <f t="shared" si="26"/>
        <v>33511036428.6572</v>
      </c>
      <c r="BE16" s="15">
        <f t="shared" si="27"/>
        <v>670944522654.269</v>
      </c>
      <c r="BF16" s="11">
        <f t="shared" si="28"/>
        <v>7.73884833488318</v>
      </c>
    </row>
    <row r="17" spans="1:58">
      <c r="A17" s="2">
        <v>2033</v>
      </c>
      <c r="B17" s="2">
        <v>31474</v>
      </c>
      <c r="C17" s="7">
        <f t="shared" si="1"/>
        <v>0.316550164311839</v>
      </c>
      <c r="D17" s="8">
        <v>0.242591323810351</v>
      </c>
      <c r="E17" s="8">
        <v>0.0739588405014883</v>
      </c>
      <c r="F17" s="9">
        <v>0.683449835688161</v>
      </c>
      <c r="G17" s="2">
        <v>395263</v>
      </c>
      <c r="H17" s="4">
        <f t="shared" si="2"/>
        <v>86123.8370774815</v>
      </c>
      <c r="I17" s="2">
        <v>63251.0217180025</v>
      </c>
      <c r="J17" s="2">
        <v>22872.815359479</v>
      </c>
      <c r="K17" s="2">
        <v>309139.712660884</v>
      </c>
      <c r="L17" s="17">
        <v>9963.09987155082</v>
      </c>
      <c r="M17" s="17">
        <v>1743.13111878482</v>
      </c>
      <c r="N17" s="2">
        <v>7635.31932560698</v>
      </c>
      <c r="O17" s="2">
        <v>1424.93599337899</v>
      </c>
      <c r="P17" s="4">
        <f t="shared" si="5"/>
        <v>6210.38333222799</v>
      </c>
      <c r="Q17" s="4">
        <f t="shared" si="6"/>
        <v>1775.13403660739</v>
      </c>
      <c r="R17" s="4">
        <f t="shared" si="7"/>
        <v>7985.51736883538</v>
      </c>
      <c r="S17" s="4">
        <f t="shared" si="8"/>
        <v>66451.0917479889</v>
      </c>
      <c r="T17" s="4">
        <f t="shared" si="9"/>
        <v>0.0220319272230619</v>
      </c>
      <c r="U17" s="24">
        <f t="shared" si="10"/>
        <v>0.11284</v>
      </c>
      <c r="V17" s="4">
        <f t="shared" si="11"/>
        <v>1629.24852473911</v>
      </c>
      <c r="W17" s="4">
        <f t="shared" si="12"/>
        <v>64821.8432232498</v>
      </c>
      <c r="X17" s="2">
        <v>2327.78054594384</v>
      </c>
      <c r="Y17" s="2">
        <v>318.195125405826</v>
      </c>
      <c r="Z17" s="4">
        <f t="shared" si="13"/>
        <v>2009.58542053802</v>
      </c>
      <c r="AA17" s="4">
        <f t="shared" si="14"/>
        <v>541.185286514387</v>
      </c>
      <c r="AB17" s="4">
        <f t="shared" si="15"/>
        <v>2550.7707070524</v>
      </c>
      <c r="AC17" s="4">
        <f t="shared" si="16"/>
        <v>23732.1957713992</v>
      </c>
      <c r="AD17" s="4">
        <f t="shared" si="17"/>
        <v>0.0137206235844365</v>
      </c>
      <c r="AE17" s="24">
        <f t="shared" si="18"/>
        <v>0.11284</v>
      </c>
      <c r="AF17" s="4">
        <f t="shared" si="19"/>
        <v>362.363545053824</v>
      </c>
      <c r="AG17" s="4">
        <f t="shared" si="20"/>
        <v>23369.8322263454</v>
      </c>
      <c r="AH17" s="2">
        <v>21510.9001284492</v>
      </c>
      <c r="AI17" s="2">
        <v>22956.6005068843</v>
      </c>
      <c r="AJ17" s="24">
        <v>0.1314</v>
      </c>
      <c r="AK17" s="4">
        <f t="shared" si="21"/>
        <v>2826.53227687822</v>
      </c>
      <c r="AL17" s="4">
        <f t="shared" si="29"/>
        <v>24337.4324053274</v>
      </c>
      <c r="AM17" s="4">
        <f t="shared" si="22"/>
        <v>334922.845444647</v>
      </c>
      <c r="AN17" s="4">
        <f t="shared" si="23"/>
        <v>0.0691263335262835</v>
      </c>
      <c r="AO17" s="4">
        <v>0</v>
      </c>
      <c r="AP17" s="4">
        <f t="shared" si="3"/>
        <v>23151.9883197786</v>
      </c>
      <c r="AQ17" s="4">
        <f t="shared" si="4"/>
        <v>311770.857124868</v>
      </c>
      <c r="AR17" s="15">
        <v>0.1634</v>
      </c>
      <c r="AS17" s="4">
        <f t="shared" si="24"/>
        <v>5142.8516</v>
      </c>
      <c r="AT17" s="3">
        <f t="shared" si="0"/>
        <v>14012.784</v>
      </c>
      <c r="AU17" s="3">
        <v>11940</v>
      </c>
      <c r="AV17" s="23">
        <v>0.1736</v>
      </c>
      <c r="AW17" s="2">
        <v>30.29235</v>
      </c>
      <c r="AX17" s="3">
        <v>42.2755</v>
      </c>
      <c r="AY17" s="3">
        <v>28.97158</v>
      </c>
      <c r="AZ17" s="3">
        <v>10.71732</v>
      </c>
      <c r="BA17" s="3">
        <v>29.8259</v>
      </c>
      <c r="BB17" s="3">
        <v>146.1221</v>
      </c>
      <c r="BC17" s="15">
        <f t="shared" si="25"/>
        <v>69653172236.6263</v>
      </c>
      <c r="BD17" s="15">
        <f t="shared" si="26"/>
        <v>32433329625.5293</v>
      </c>
      <c r="BE17" s="15">
        <f t="shared" si="27"/>
        <v>670228263704.578</v>
      </c>
      <c r="BF17" s="11">
        <f t="shared" si="28"/>
        <v>7.72314765566734</v>
      </c>
    </row>
    <row r="18" spans="1:58">
      <c r="A18" s="2">
        <v>2034</v>
      </c>
      <c r="B18" s="2">
        <v>31657</v>
      </c>
      <c r="C18" s="7">
        <f t="shared" si="1"/>
        <v>0.317654298463266</v>
      </c>
      <c r="D18" s="8">
        <v>0.250406521756049</v>
      </c>
      <c r="E18" s="8">
        <v>0.0672477767072169</v>
      </c>
      <c r="F18" s="9">
        <v>0.682345701536734</v>
      </c>
      <c r="G18" s="2">
        <v>401608</v>
      </c>
      <c r="H18" s="4">
        <f t="shared" si="2"/>
        <v>93985.8564678595</v>
      </c>
      <c r="I18" s="2">
        <v>69423.0106726824</v>
      </c>
      <c r="J18" s="2">
        <v>24562.8457951771</v>
      </c>
      <c r="K18" s="2">
        <v>307622.509156122</v>
      </c>
      <c r="L18" s="17">
        <v>10055.9821264516</v>
      </c>
      <c r="M18" s="17">
        <v>2193.96273607369</v>
      </c>
      <c r="N18" s="2">
        <v>7927.11925923125</v>
      </c>
      <c r="O18" s="2">
        <v>1755.13030455135</v>
      </c>
      <c r="P18" s="4">
        <f t="shared" si="5"/>
        <v>6171.9889546799</v>
      </c>
      <c r="Q18" s="4">
        <f t="shared" si="6"/>
        <v>1840.18913630196</v>
      </c>
      <c r="R18" s="4">
        <f t="shared" si="7"/>
        <v>8012.17809098187</v>
      </c>
      <c r="S18" s="4">
        <f t="shared" si="8"/>
        <v>73018.3301135357</v>
      </c>
      <c r="T18" s="4">
        <f t="shared" si="9"/>
        <v>0.0246582768312638</v>
      </c>
      <c r="U18" s="24">
        <f t="shared" si="10"/>
        <v>0.11284</v>
      </c>
      <c r="V18" s="4">
        <f t="shared" si="11"/>
        <v>2003.67531704421</v>
      </c>
      <c r="W18" s="4">
        <f t="shared" si="12"/>
        <v>71014.6547964915</v>
      </c>
      <c r="X18" s="2">
        <v>2128.86286722036</v>
      </c>
      <c r="Y18" s="2">
        <v>438.832431522347</v>
      </c>
      <c r="Z18" s="4">
        <f t="shared" si="13"/>
        <v>1690.03043569802</v>
      </c>
      <c r="AA18" s="4">
        <f t="shared" si="14"/>
        <v>494.19091511378</v>
      </c>
      <c r="AB18" s="4">
        <f t="shared" si="15"/>
        <v>2184.2213508118</v>
      </c>
      <c r="AC18" s="4">
        <f t="shared" si="16"/>
        <v>25495.8691418132</v>
      </c>
      <c r="AD18" s="4">
        <f t="shared" si="17"/>
        <v>0.0175521190035042</v>
      </c>
      <c r="AE18" s="24">
        <f t="shared" si="18"/>
        <v>0.11284</v>
      </c>
      <c r="AF18" s="4">
        <f t="shared" si="19"/>
        <v>498.003166038253</v>
      </c>
      <c r="AG18" s="4">
        <f t="shared" si="20"/>
        <v>24997.8659757749</v>
      </c>
      <c r="AH18" s="2">
        <v>21601.0178735484</v>
      </c>
      <c r="AI18" s="2">
        <v>23118.2213783107</v>
      </c>
      <c r="AJ18" s="24">
        <v>0.1314</v>
      </c>
      <c r="AK18" s="4">
        <f t="shared" si="21"/>
        <v>2838.37374858426</v>
      </c>
      <c r="AL18" s="4">
        <f t="shared" si="29"/>
        <v>24439.3916221326</v>
      </c>
      <c r="AM18" s="4">
        <f t="shared" si="22"/>
        <v>333579.104283017</v>
      </c>
      <c r="AN18" s="4">
        <f t="shared" si="23"/>
        <v>0.0698983198741647</v>
      </c>
      <c r="AO18" s="4">
        <v>0</v>
      </c>
      <c r="AP18" s="4">
        <f t="shared" si="3"/>
        <v>23316.6189345117</v>
      </c>
      <c r="AQ18" s="4">
        <f t="shared" si="4"/>
        <v>310262.485348505</v>
      </c>
      <c r="AR18" s="15">
        <v>0.1634</v>
      </c>
      <c r="AS18" s="4">
        <f t="shared" si="24"/>
        <v>5172.7538</v>
      </c>
      <c r="AT18" s="3">
        <f t="shared" si="0"/>
        <v>14200.56</v>
      </c>
      <c r="AU18" s="3">
        <v>12100</v>
      </c>
      <c r="AV18" s="23">
        <v>0.1736</v>
      </c>
      <c r="AW18" s="2">
        <v>29.23766</v>
      </c>
      <c r="AX18" s="3">
        <v>41.30041</v>
      </c>
      <c r="AY18" s="3">
        <v>28.15421</v>
      </c>
      <c r="AZ18" s="3">
        <v>10.06829</v>
      </c>
      <c r="BA18" s="3">
        <v>29.26276</v>
      </c>
      <c r="BB18" s="3">
        <v>145.14329</v>
      </c>
      <c r="BC18" s="15">
        <f t="shared" si="25"/>
        <v>70982844925.7299</v>
      </c>
      <c r="BD18" s="15">
        <f t="shared" si="26"/>
        <v>29603127996.6398</v>
      </c>
      <c r="BE18" s="15">
        <f t="shared" si="27"/>
        <v>669778491599.731</v>
      </c>
      <c r="BF18" s="11">
        <f t="shared" si="28"/>
        <v>7.70364464522101</v>
      </c>
    </row>
    <row r="19" spans="1:58">
      <c r="A19" s="2">
        <v>2035</v>
      </c>
      <c r="B19" s="2">
        <v>31591</v>
      </c>
      <c r="C19" s="7">
        <f t="shared" si="1"/>
        <v>0.318632223552804</v>
      </c>
      <c r="D19" s="8">
        <v>0.257533354958395</v>
      </c>
      <c r="E19" s="8">
        <v>0.0610988685944089</v>
      </c>
      <c r="F19" s="9">
        <v>0.681367776447196</v>
      </c>
      <c r="G19" s="2">
        <v>407260</v>
      </c>
      <c r="H19" s="4">
        <f t="shared" si="2"/>
        <v>101307.497986155</v>
      </c>
      <c r="I19" s="2">
        <v>75393.969747526</v>
      </c>
      <c r="J19" s="2">
        <v>25913.5282386288</v>
      </c>
      <c r="K19" s="2">
        <v>305953.427966065</v>
      </c>
      <c r="L19" s="17">
        <v>10065.9105742566</v>
      </c>
      <c r="M19" s="17">
        <v>2744.26905596128</v>
      </c>
      <c r="N19" s="2">
        <v>8135.73621649064</v>
      </c>
      <c r="O19" s="2">
        <v>2164.77714164702</v>
      </c>
      <c r="P19" s="4">
        <f t="shared" si="5"/>
        <v>5970.95907484362</v>
      </c>
      <c r="Q19" s="4">
        <f t="shared" si="6"/>
        <v>1886.1017468759</v>
      </c>
      <c r="R19" s="4">
        <f t="shared" si="7"/>
        <v>7857.06082171952</v>
      </c>
      <c r="S19" s="4">
        <f t="shared" si="8"/>
        <v>79444.8486360489</v>
      </c>
      <c r="T19" s="4">
        <f t="shared" si="9"/>
        <v>0.0279114507192897</v>
      </c>
      <c r="U19" s="24">
        <f t="shared" si="10"/>
        <v>0.11284</v>
      </c>
      <c r="V19" s="4">
        <f t="shared" si="11"/>
        <v>2467.63476071963</v>
      </c>
      <c r="W19" s="4">
        <f t="shared" si="12"/>
        <v>76977.2138753293</v>
      </c>
      <c r="X19" s="2">
        <v>1930.17435776597</v>
      </c>
      <c r="Y19" s="2">
        <v>579.491914314243</v>
      </c>
      <c r="Z19" s="4">
        <f t="shared" si="13"/>
        <v>1350.68244345173</v>
      </c>
      <c r="AA19" s="4">
        <f t="shared" si="14"/>
        <v>447.470902581425</v>
      </c>
      <c r="AB19" s="4">
        <f t="shared" si="15"/>
        <v>1798.15334603315</v>
      </c>
      <c r="AC19" s="4">
        <f t="shared" si="16"/>
        <v>26940.4910555244</v>
      </c>
      <c r="AD19" s="4">
        <f t="shared" si="17"/>
        <v>0.0218733806477654</v>
      </c>
      <c r="AE19" s="24">
        <f t="shared" si="18"/>
        <v>0.11284</v>
      </c>
      <c r="AF19" s="4">
        <f t="shared" si="19"/>
        <v>655.773927530251</v>
      </c>
      <c r="AG19" s="4">
        <f t="shared" si="20"/>
        <v>26284.7171279941</v>
      </c>
      <c r="AH19" s="2">
        <v>21525.0894257434</v>
      </c>
      <c r="AI19" s="2">
        <v>23194.1706158004</v>
      </c>
      <c r="AJ19" s="24">
        <v>0.1314</v>
      </c>
      <c r="AK19" s="4">
        <f t="shared" si="21"/>
        <v>2828.39675054268</v>
      </c>
      <c r="AL19" s="4">
        <f t="shared" si="29"/>
        <v>24353.4861762861</v>
      </c>
      <c r="AM19" s="4">
        <f t="shared" si="22"/>
        <v>331975.995332408</v>
      </c>
      <c r="AN19" s="4">
        <f t="shared" si="23"/>
        <v>0.0704673851965886</v>
      </c>
      <c r="AO19" s="4">
        <v>0</v>
      </c>
      <c r="AP19" s="4">
        <f t="shared" si="3"/>
        <v>23393.4803391097</v>
      </c>
      <c r="AQ19" s="4">
        <f t="shared" si="4"/>
        <v>308582.514993299</v>
      </c>
      <c r="AR19" s="15">
        <v>0.1634</v>
      </c>
      <c r="AS19" s="4">
        <f t="shared" si="24"/>
        <v>5161.9694</v>
      </c>
      <c r="AT19" s="3">
        <f t="shared" si="0"/>
        <v>14376.6</v>
      </c>
      <c r="AU19" s="3">
        <v>12250</v>
      </c>
      <c r="AV19" s="23">
        <v>0.1736</v>
      </c>
      <c r="AW19" s="2">
        <v>28.20677</v>
      </c>
      <c r="AX19" s="3">
        <v>40.40616</v>
      </c>
      <c r="AY19" s="3">
        <v>27.34673</v>
      </c>
      <c r="AZ19" s="3">
        <v>9.46541</v>
      </c>
      <c r="BA19" s="3">
        <v>28.73414</v>
      </c>
      <c r="BB19" s="3">
        <v>144.20036</v>
      </c>
      <c r="BC19" s="15">
        <f t="shared" si="25"/>
        <v>71435543652.4239</v>
      </c>
      <c r="BD19" s="15">
        <f t="shared" si="26"/>
        <v>26526492081.731</v>
      </c>
      <c r="BE19" s="15">
        <f t="shared" si="27"/>
        <v>667472278234.028</v>
      </c>
      <c r="BF19" s="11">
        <f t="shared" si="28"/>
        <v>7.65434313968183</v>
      </c>
    </row>
    <row r="20" spans="1:58">
      <c r="A20" s="2">
        <v>2036</v>
      </c>
      <c r="B20" s="2">
        <v>31484</v>
      </c>
      <c r="C20" s="7">
        <f t="shared" si="1"/>
        <v>0.317851862165086</v>
      </c>
      <c r="D20" s="8">
        <v>0.25945298034334</v>
      </c>
      <c r="E20" s="8">
        <v>0.0583988818217463</v>
      </c>
      <c r="F20" s="9">
        <v>0.682148137834914</v>
      </c>
      <c r="G20" s="2">
        <v>412157</v>
      </c>
      <c r="H20" s="4">
        <f t="shared" si="2"/>
        <v>107948.745657663</v>
      </c>
      <c r="I20" s="2">
        <v>80932.8211950315</v>
      </c>
      <c r="J20" s="2">
        <v>27015.9244626316</v>
      </c>
      <c r="K20" s="2">
        <v>304209.300002787</v>
      </c>
      <c r="L20" s="17">
        <v>10007.2480284056</v>
      </c>
      <c r="M20" s="17">
        <v>3366.00035689723</v>
      </c>
      <c r="N20" s="2">
        <v>8168.61763312971</v>
      </c>
      <c r="O20" s="2">
        <v>2629.7661856242</v>
      </c>
      <c r="P20" s="4">
        <f t="shared" si="5"/>
        <v>5538.8514475055</v>
      </c>
      <c r="Q20" s="4">
        <f t="shared" si="6"/>
        <v>1895.73871611998</v>
      </c>
      <c r="R20" s="4">
        <f t="shared" si="7"/>
        <v>7434.59016362548</v>
      </c>
      <c r="S20" s="4">
        <f t="shared" si="8"/>
        <v>85458.3260967757</v>
      </c>
      <c r="T20" s="4">
        <f t="shared" si="9"/>
        <v>0.0314706170315758</v>
      </c>
      <c r="U20" s="24">
        <f t="shared" si="10"/>
        <v>0.11284</v>
      </c>
      <c r="V20" s="4">
        <f t="shared" si="11"/>
        <v>2992.90111111159</v>
      </c>
      <c r="W20" s="4">
        <f t="shared" si="12"/>
        <v>82465.4249856641</v>
      </c>
      <c r="X20" s="2">
        <v>1838.63039527586</v>
      </c>
      <c r="Y20" s="2">
        <v>736.23417127303</v>
      </c>
      <c r="Z20" s="4">
        <f t="shared" si="13"/>
        <v>1102.39622400283</v>
      </c>
      <c r="AA20" s="4">
        <f t="shared" si="14"/>
        <v>426.701674812509</v>
      </c>
      <c r="AB20" s="4">
        <f t="shared" si="15"/>
        <v>1529.09789881534</v>
      </c>
      <c r="AC20" s="4">
        <f t="shared" si="16"/>
        <v>28178.8603087172</v>
      </c>
      <c r="AD20" s="4">
        <f t="shared" si="17"/>
        <v>0.026528897480918</v>
      </c>
      <c r="AE20" s="24">
        <f t="shared" si="18"/>
        <v>0.11284</v>
      </c>
      <c r="AF20" s="4">
        <f t="shared" si="19"/>
        <v>831.908100480941</v>
      </c>
      <c r="AG20" s="4">
        <f t="shared" si="20"/>
        <v>27346.9522082363</v>
      </c>
      <c r="AH20" s="2">
        <v>21476.7519715944</v>
      </c>
      <c r="AI20" s="2">
        <v>23220.8799348724</v>
      </c>
      <c r="AJ20" s="24">
        <v>0.1314</v>
      </c>
      <c r="AK20" s="4">
        <f t="shared" si="21"/>
        <v>2822.04520906751</v>
      </c>
      <c r="AL20" s="4">
        <f t="shared" si="29"/>
        <v>24298.7971806619</v>
      </c>
      <c r="AM20" s="4">
        <f t="shared" si="22"/>
        <v>330252.225146727</v>
      </c>
      <c r="AN20" s="4">
        <f t="shared" si="23"/>
        <v>0.0709185693856734</v>
      </c>
      <c r="AO20" s="4">
        <v>0</v>
      </c>
      <c r="AP20" s="4">
        <f t="shared" si="3"/>
        <v>23421.0153438412</v>
      </c>
      <c r="AQ20" s="4">
        <f t="shared" si="4"/>
        <v>306831.209802886</v>
      </c>
      <c r="AR20" s="15">
        <v>0.1634</v>
      </c>
      <c r="AS20" s="4">
        <f t="shared" si="24"/>
        <v>5144.4856</v>
      </c>
      <c r="AT20" s="3">
        <f t="shared" si="0"/>
        <v>14552.64</v>
      </c>
      <c r="AU20" s="3">
        <v>12400</v>
      </c>
      <c r="AV20" s="23">
        <v>0.1736</v>
      </c>
      <c r="AW20" s="2">
        <v>27.25089</v>
      </c>
      <c r="AX20" s="3">
        <v>39.53201</v>
      </c>
      <c r="AY20" s="3">
        <v>26.50942</v>
      </c>
      <c r="AZ20" s="3">
        <v>8.95054</v>
      </c>
      <c r="BA20" s="3">
        <v>28.23528</v>
      </c>
      <c r="BB20" s="3">
        <v>143.35048</v>
      </c>
      <c r="BC20" s="15">
        <f t="shared" si="25"/>
        <v>70610138394.3939</v>
      </c>
      <c r="BD20" s="15">
        <f t="shared" si="26"/>
        <v>24432042439.0709</v>
      </c>
      <c r="BE20" s="15">
        <f t="shared" si="27"/>
        <v>665217920644.381</v>
      </c>
      <c r="BF20" s="11">
        <f t="shared" si="28"/>
        <v>7.60260101477846</v>
      </c>
    </row>
    <row r="21" spans="1:58">
      <c r="A21" s="2">
        <v>2037</v>
      </c>
      <c r="B21" s="2">
        <v>31388</v>
      </c>
      <c r="C21" s="7">
        <f t="shared" si="1"/>
        <v>0.317843532193353</v>
      </c>
      <c r="D21" s="8">
        <v>0.262208314768073</v>
      </c>
      <c r="E21" s="8">
        <v>0.0556352174252805</v>
      </c>
      <c r="F21" s="9">
        <v>0.682156467806647</v>
      </c>
      <c r="G21" s="2">
        <v>416303</v>
      </c>
      <c r="H21" s="4">
        <f t="shared" si="2"/>
        <v>113857.64656633</v>
      </c>
      <c r="I21" s="2">
        <v>86011.3440448509</v>
      </c>
      <c r="J21" s="2">
        <v>27846.3025214793</v>
      </c>
      <c r="K21" s="2">
        <v>302445.086558066</v>
      </c>
      <c r="L21" s="17">
        <v>9976.47278848498</v>
      </c>
      <c r="M21" s="17">
        <v>4067.57187981789</v>
      </c>
      <c r="N21" s="2">
        <v>8230.19458394027</v>
      </c>
      <c r="O21" s="2">
        <v>3151.67173412092</v>
      </c>
      <c r="P21" s="4">
        <f t="shared" si="5"/>
        <v>5078.52284981936</v>
      </c>
      <c r="Q21" s="4">
        <f t="shared" si="6"/>
        <v>1910.05095336222</v>
      </c>
      <c r="R21" s="4">
        <f t="shared" si="7"/>
        <v>6988.57380318158</v>
      </c>
      <c r="S21" s="4">
        <f t="shared" si="8"/>
        <v>91073.066732334</v>
      </c>
      <c r="T21" s="4">
        <f t="shared" si="9"/>
        <v>0.035347298502483</v>
      </c>
      <c r="U21" s="24">
        <f t="shared" si="10"/>
        <v>0.11284</v>
      </c>
      <c r="V21" s="4">
        <f t="shared" si="11"/>
        <v>3582.43992233597</v>
      </c>
      <c r="W21" s="4">
        <f t="shared" si="12"/>
        <v>87490.626809998</v>
      </c>
      <c r="X21" s="2">
        <v>1746.2782045447</v>
      </c>
      <c r="Y21" s="2">
        <v>915.900145696971</v>
      </c>
      <c r="Z21" s="4">
        <f t="shared" si="13"/>
        <v>830.378058847733</v>
      </c>
      <c r="AA21" s="4">
        <f t="shared" si="14"/>
        <v>405.273571044706</v>
      </c>
      <c r="AB21" s="4">
        <f t="shared" si="15"/>
        <v>1235.65162989244</v>
      </c>
      <c r="AC21" s="4">
        <f t="shared" si="16"/>
        <v>29167.476238221</v>
      </c>
      <c r="AD21" s="4">
        <f t="shared" si="17"/>
        <v>0.031843880536389</v>
      </c>
      <c r="AE21" s="24">
        <f t="shared" si="18"/>
        <v>0.11284</v>
      </c>
      <c r="AF21" s="4">
        <f t="shared" si="19"/>
        <v>1033.61205604045</v>
      </c>
      <c r="AG21" s="4">
        <f t="shared" si="20"/>
        <v>28133.8641821805</v>
      </c>
      <c r="AH21" s="2">
        <v>21411.527211515</v>
      </c>
      <c r="AI21" s="2">
        <v>23175.7406562357</v>
      </c>
      <c r="AJ21" s="24">
        <v>0.1314</v>
      </c>
      <c r="AK21" s="4">
        <f t="shared" si="21"/>
        <v>2813.47467559307</v>
      </c>
      <c r="AL21" s="4">
        <f t="shared" si="29"/>
        <v>24225.0018871081</v>
      </c>
      <c r="AM21" s="4">
        <f t="shared" si="22"/>
        <v>328434.301889895</v>
      </c>
      <c r="AN21" s="4">
        <f t="shared" si="23"/>
        <v>0.0711740119773819</v>
      </c>
      <c r="AO21" s="4">
        <v>0</v>
      </c>
      <c r="AP21" s="4">
        <f t="shared" si="3"/>
        <v>23375.9869364944</v>
      </c>
      <c r="AQ21" s="4">
        <f t="shared" si="4"/>
        <v>305058.314953401</v>
      </c>
      <c r="AR21" s="15">
        <v>0.1634</v>
      </c>
      <c r="AS21" s="4">
        <f t="shared" si="24"/>
        <v>5128.7992</v>
      </c>
      <c r="AT21" s="3">
        <f t="shared" si="0"/>
        <v>14716.944</v>
      </c>
      <c r="AU21" s="3">
        <v>12540</v>
      </c>
      <c r="AV21" s="23">
        <v>0.1736</v>
      </c>
      <c r="AW21" s="2">
        <v>26.36563</v>
      </c>
      <c r="AX21" s="3">
        <v>38.7284</v>
      </c>
      <c r="AY21" s="3">
        <v>25.7279</v>
      </c>
      <c r="AZ21" s="3">
        <v>8.46924</v>
      </c>
      <c r="BA21" s="3">
        <v>27.76145</v>
      </c>
      <c r="BB21" s="3">
        <v>142.52768</v>
      </c>
      <c r="BC21" s="15">
        <f t="shared" si="25"/>
        <v>69924447450.3363</v>
      </c>
      <c r="BD21" s="15">
        <f t="shared" si="26"/>
        <v>22058624298.7232</v>
      </c>
      <c r="BE21" s="15">
        <f t="shared" si="27"/>
        <v>662464753783.775</v>
      </c>
      <c r="BF21" s="11">
        <f t="shared" si="28"/>
        <v>7.54447825532835</v>
      </c>
    </row>
    <row r="22" spans="1:58">
      <c r="A22" s="2">
        <v>2038</v>
      </c>
      <c r="B22" s="2">
        <v>31354</v>
      </c>
      <c r="C22" s="7">
        <f t="shared" si="1"/>
        <v>0.326731731264237</v>
      </c>
      <c r="D22" s="8">
        <v>0.267911710400075</v>
      </c>
      <c r="E22" s="8">
        <v>0.0588200208641614</v>
      </c>
      <c r="F22" s="9">
        <v>0.673268268735763</v>
      </c>
      <c r="G22" s="2">
        <v>419771</v>
      </c>
      <c r="H22" s="4">
        <f t="shared" si="2"/>
        <v>119281.408698359</v>
      </c>
      <c r="I22" s="2">
        <v>90699.0433046017</v>
      </c>
      <c r="J22" s="2">
        <v>28582.3653937573</v>
      </c>
      <c r="K22" s="2">
        <v>300489.858800894</v>
      </c>
      <c r="L22" s="17">
        <v>10244.3467020589</v>
      </c>
      <c r="M22" s="17">
        <v>4820.58457003007</v>
      </c>
      <c r="N22" s="2">
        <v>8400.10376788396</v>
      </c>
      <c r="O22" s="2">
        <v>3712.40450813313</v>
      </c>
      <c r="P22" s="4">
        <f t="shared" si="5"/>
        <v>4687.69925975083</v>
      </c>
      <c r="Q22" s="4">
        <f t="shared" si="6"/>
        <v>1926.47707909113</v>
      </c>
      <c r="R22" s="4">
        <f t="shared" si="7"/>
        <v>6614.17633884196</v>
      </c>
      <c r="S22" s="4">
        <f t="shared" si="8"/>
        <v>96337.924891826</v>
      </c>
      <c r="T22" s="4">
        <f t="shared" si="9"/>
        <v>0.0393215504490164</v>
      </c>
      <c r="U22" s="24">
        <f t="shared" si="10"/>
        <v>0.11284</v>
      </c>
      <c r="V22" s="4">
        <f t="shared" si="11"/>
        <v>4215.61216157367</v>
      </c>
      <c r="W22" s="4">
        <f t="shared" si="12"/>
        <v>92122.3127302523</v>
      </c>
      <c r="X22" s="2">
        <v>1844.24293417492</v>
      </c>
      <c r="Y22" s="2">
        <v>1108.18006189694</v>
      </c>
      <c r="Z22" s="4">
        <f t="shared" si="13"/>
        <v>736.062872277975</v>
      </c>
      <c r="AA22" s="4">
        <f t="shared" si="14"/>
        <v>422.958077559409</v>
      </c>
      <c r="AB22" s="4">
        <f t="shared" si="15"/>
        <v>1159.02094983738</v>
      </c>
      <c r="AC22" s="4">
        <f t="shared" si="16"/>
        <v>30113.5035332137</v>
      </c>
      <c r="AD22" s="4">
        <f t="shared" si="17"/>
        <v>0.0373243416343468</v>
      </c>
      <c r="AE22" s="24">
        <f t="shared" si="18"/>
        <v>0.11284</v>
      </c>
      <c r="AF22" s="4">
        <f t="shared" si="19"/>
        <v>1250.79509539572</v>
      </c>
      <c r="AG22" s="4">
        <f t="shared" si="20"/>
        <v>28862.708437818</v>
      </c>
      <c r="AH22" s="2">
        <v>21109.6532979411</v>
      </c>
      <c r="AI22" s="2">
        <v>23064.8810551133</v>
      </c>
      <c r="AJ22" s="24">
        <v>0.1314</v>
      </c>
      <c r="AK22" s="4">
        <f t="shared" si="21"/>
        <v>2773.80844334946</v>
      </c>
      <c r="AL22" s="4">
        <f t="shared" si="29"/>
        <v>23883.4617412906</v>
      </c>
      <c r="AM22" s="4">
        <f t="shared" si="22"/>
        <v>326328.548299357</v>
      </c>
      <c r="AN22" s="4">
        <f t="shared" si="23"/>
        <v>0.0712858697893839</v>
      </c>
      <c r="AO22" s="4">
        <v>0</v>
      </c>
      <c r="AP22" s="4">
        <f t="shared" si="3"/>
        <v>23262.6144026266</v>
      </c>
      <c r="AQ22" s="4">
        <f t="shared" si="4"/>
        <v>303065.93389673</v>
      </c>
      <c r="AR22" s="15">
        <v>0.1634</v>
      </c>
      <c r="AS22" s="4">
        <f t="shared" si="24"/>
        <v>5123.2436</v>
      </c>
      <c r="AT22" s="3">
        <f t="shared" si="0"/>
        <v>14904.72</v>
      </c>
      <c r="AU22" s="3">
        <v>12700</v>
      </c>
      <c r="AV22" s="23">
        <v>0.1736</v>
      </c>
      <c r="AW22" s="2">
        <v>25.44577</v>
      </c>
      <c r="AX22" s="3">
        <v>37.88569</v>
      </c>
      <c r="AY22" s="3">
        <v>25.0017</v>
      </c>
      <c r="AZ22" s="3">
        <v>8.01904</v>
      </c>
      <c r="BA22" s="3">
        <v>27.40716</v>
      </c>
      <c r="BB22" s="3">
        <v>141.78611</v>
      </c>
      <c r="BC22" s="15">
        <f t="shared" si="25"/>
        <v>69757808736.8402</v>
      </c>
      <c r="BD22" s="15">
        <f t="shared" si="26"/>
        <v>21607365047.0452</v>
      </c>
      <c r="BE22" s="15">
        <f t="shared" si="27"/>
        <v>659478577179.309</v>
      </c>
      <c r="BF22" s="11">
        <f t="shared" si="28"/>
        <v>7.50843750963194</v>
      </c>
    </row>
    <row r="23" spans="1:58">
      <c r="A23" s="2">
        <v>2039</v>
      </c>
      <c r="B23" s="2">
        <v>31390</v>
      </c>
      <c r="C23" s="7">
        <f t="shared" si="1"/>
        <v>0.356712645503289</v>
      </c>
      <c r="D23" s="8">
        <v>0.296357915905703</v>
      </c>
      <c r="E23" s="8">
        <v>0.0603547295975854</v>
      </c>
      <c r="F23" s="9">
        <v>0.643287354496711</v>
      </c>
      <c r="G23" s="2">
        <v>422668</v>
      </c>
      <c r="H23" s="4">
        <f t="shared" si="2"/>
        <v>124839.995464472</v>
      </c>
      <c r="I23" s="2">
        <v>95681.1336603316</v>
      </c>
      <c r="J23" s="2">
        <v>29158.8618041403</v>
      </c>
      <c r="K23" s="2">
        <v>297827.704529606</v>
      </c>
      <c r="L23" s="17">
        <v>11197.2099423482</v>
      </c>
      <c r="M23" s="17">
        <v>5638.62317623541</v>
      </c>
      <c r="N23" s="2">
        <v>9302.67498028003</v>
      </c>
      <c r="O23" s="2">
        <v>4320.58462455015</v>
      </c>
      <c r="P23" s="4">
        <f t="shared" si="5"/>
        <v>4982.09035572988</v>
      </c>
      <c r="Q23" s="4">
        <f t="shared" si="6"/>
        <v>2056.8964332024</v>
      </c>
      <c r="R23" s="4">
        <f t="shared" si="7"/>
        <v>7038.98678893228</v>
      </c>
      <c r="S23" s="4">
        <f t="shared" si="8"/>
        <v>102058.614718084</v>
      </c>
      <c r="T23" s="4">
        <f t="shared" si="9"/>
        <v>0.0432051038587337</v>
      </c>
      <c r="U23" s="24">
        <f t="shared" si="10"/>
        <v>0.11284</v>
      </c>
      <c r="V23" s="4">
        <f t="shared" si="11"/>
        <v>4907.01573057432</v>
      </c>
      <c r="W23" s="4">
        <f t="shared" si="12"/>
        <v>97151.5989875097</v>
      </c>
      <c r="X23" s="2">
        <v>1894.53496206821</v>
      </c>
      <c r="Y23" s="2">
        <v>1318.03855168526</v>
      </c>
      <c r="Z23" s="4">
        <f t="shared" si="13"/>
        <v>576.496410382944</v>
      </c>
      <c r="AA23" s="4">
        <f t="shared" si="14"/>
        <v>418.896953222161</v>
      </c>
      <c r="AB23" s="4">
        <f t="shared" si="15"/>
        <v>995.393363605105</v>
      </c>
      <c r="AC23" s="4">
        <f t="shared" si="16"/>
        <v>30895.7973090477</v>
      </c>
      <c r="AD23" s="4">
        <f t="shared" si="17"/>
        <v>0.0432471326249333</v>
      </c>
      <c r="AE23" s="24">
        <f t="shared" si="18"/>
        <v>0.11284</v>
      </c>
      <c r="AF23" s="4">
        <f t="shared" si="19"/>
        <v>1486.92633378129</v>
      </c>
      <c r="AG23" s="4">
        <f t="shared" si="20"/>
        <v>29408.8709752664</v>
      </c>
      <c r="AH23" s="2">
        <v>20192.7900576518</v>
      </c>
      <c r="AI23" s="2">
        <v>22854.9443289395</v>
      </c>
      <c r="AJ23" s="24">
        <v>0.1314</v>
      </c>
      <c r="AK23" s="4">
        <f t="shared" si="21"/>
        <v>2653.33261357544</v>
      </c>
      <c r="AL23" s="4">
        <f t="shared" si="29"/>
        <v>22846.1226712272</v>
      </c>
      <c r="AM23" s="4">
        <f t="shared" si="22"/>
        <v>323335.981472121</v>
      </c>
      <c r="AN23" s="4">
        <f t="shared" si="23"/>
        <v>0.0712696630462874</v>
      </c>
      <c r="AO23" s="4">
        <v>0</v>
      </c>
      <c r="AP23" s="4">
        <f t="shared" si="3"/>
        <v>23044.0464502587</v>
      </c>
      <c r="AQ23" s="4">
        <f t="shared" si="4"/>
        <v>300291.935021863</v>
      </c>
      <c r="AR23" s="15">
        <v>0.1634</v>
      </c>
      <c r="AS23" s="4">
        <f t="shared" si="24"/>
        <v>5129.126</v>
      </c>
      <c r="AT23" s="3">
        <f t="shared" si="0"/>
        <v>15069.024</v>
      </c>
      <c r="AU23" s="3">
        <v>12840</v>
      </c>
      <c r="AV23" s="23">
        <v>0.1736</v>
      </c>
      <c r="AW23" s="2">
        <v>24.59252</v>
      </c>
      <c r="AX23" s="3">
        <v>37.10695</v>
      </c>
      <c r="AY23" s="3">
        <v>24.25185</v>
      </c>
      <c r="AZ23" s="3">
        <v>7.63464</v>
      </c>
      <c r="BA23" s="3">
        <v>27.01441</v>
      </c>
      <c r="BB23" s="3">
        <v>141.06451</v>
      </c>
      <c r="BC23" s="15">
        <f t="shared" si="25"/>
        <v>74322306851.945</v>
      </c>
      <c r="BD23" s="15">
        <f t="shared" si="26"/>
        <v>20320631225.3525</v>
      </c>
      <c r="BE23" s="15">
        <f t="shared" si="27"/>
        <v>650621363717.282</v>
      </c>
      <c r="BF23" s="11">
        <f t="shared" si="28"/>
        <v>7.45264301794579</v>
      </c>
    </row>
    <row r="24" spans="1:58">
      <c r="A24" s="2">
        <v>2040</v>
      </c>
      <c r="B24" s="2">
        <v>31159</v>
      </c>
      <c r="C24" s="7">
        <f t="shared" si="1"/>
        <v>0.385768622883877</v>
      </c>
      <c r="D24" s="8">
        <v>0.323993414060787</v>
      </c>
      <c r="E24" s="8">
        <v>0.0617752088230906</v>
      </c>
      <c r="F24" s="9">
        <v>0.614231377116123</v>
      </c>
      <c r="G24" s="2">
        <v>424773</v>
      </c>
      <c r="H24" s="4">
        <f t="shared" si="2"/>
        <v>130410.466471601</v>
      </c>
      <c r="I24" s="2">
        <v>100864.175661551</v>
      </c>
      <c r="J24" s="2">
        <v>29546.29081005</v>
      </c>
      <c r="K24" s="2">
        <v>294361.646253634</v>
      </c>
      <c r="L24" s="17">
        <v>12020.1645204387</v>
      </c>
      <c r="M24" s="17">
        <v>6449.69351330967</v>
      </c>
      <c r="N24" s="2">
        <v>10095.3107887201</v>
      </c>
      <c r="O24" s="2">
        <v>4912.2687875008</v>
      </c>
      <c r="P24" s="4">
        <f t="shared" si="5"/>
        <v>5183.04200121926</v>
      </c>
      <c r="Q24" s="4">
        <f t="shared" si="6"/>
        <v>2163.94276202837</v>
      </c>
      <c r="R24" s="4">
        <f t="shared" si="7"/>
        <v>7346.98476324762</v>
      </c>
      <c r="S24" s="4">
        <f t="shared" si="8"/>
        <v>107940.38721108</v>
      </c>
      <c r="T24" s="4">
        <f t="shared" si="9"/>
        <v>0.0464401012256263</v>
      </c>
      <c r="U24" s="24">
        <f t="shared" si="10"/>
        <v>0.11284</v>
      </c>
      <c r="V24" s="4">
        <f t="shared" si="11"/>
        <v>5578.4026298655</v>
      </c>
      <c r="W24" s="4">
        <f t="shared" si="12"/>
        <v>102361.984581215</v>
      </c>
      <c r="X24" s="2">
        <v>1924.85373171868</v>
      </c>
      <c r="Y24" s="2">
        <v>1537.42472580889</v>
      </c>
      <c r="Z24" s="4">
        <f t="shared" si="13"/>
        <v>387.429005909785</v>
      </c>
      <c r="AA24" s="4">
        <f t="shared" si="14"/>
        <v>412.59485595728</v>
      </c>
      <c r="AB24" s="4">
        <f t="shared" si="15"/>
        <v>800.023861867065</v>
      </c>
      <c r="AC24" s="4">
        <f t="shared" si="16"/>
        <v>31496.3103918162</v>
      </c>
      <c r="AD24" s="4">
        <f t="shared" si="17"/>
        <v>0.0494607771080418</v>
      </c>
      <c r="AE24" s="24">
        <f t="shared" si="18"/>
        <v>0.11284</v>
      </c>
      <c r="AF24" s="4">
        <f t="shared" si="19"/>
        <v>1733.61774954297</v>
      </c>
      <c r="AG24" s="4">
        <f t="shared" si="20"/>
        <v>29762.6926422732</v>
      </c>
      <c r="AH24" s="2">
        <v>19138.8354795613</v>
      </c>
      <c r="AI24" s="2">
        <v>22604.8937555335</v>
      </c>
      <c r="AJ24" s="24">
        <v>0.1314</v>
      </c>
      <c r="AK24" s="4">
        <f t="shared" si="21"/>
        <v>2514.84298201435</v>
      </c>
      <c r="AL24" s="4">
        <f t="shared" si="29"/>
        <v>21653.6784615756</v>
      </c>
      <c r="AM24" s="4">
        <f t="shared" si="22"/>
        <v>319481.382991182</v>
      </c>
      <c r="AN24" s="4">
        <f t="shared" si="23"/>
        <v>0.0713163406928684</v>
      </c>
      <c r="AO24" s="4">
        <v>0</v>
      </c>
      <c r="AP24" s="4">
        <f t="shared" si="3"/>
        <v>22784.2431544279</v>
      </c>
      <c r="AQ24" s="4">
        <f t="shared" si="4"/>
        <v>296697.139836754</v>
      </c>
      <c r="AR24" s="15">
        <v>0.1634</v>
      </c>
      <c r="AS24" s="4">
        <f t="shared" si="24"/>
        <v>5091.3806</v>
      </c>
      <c r="AT24" s="3">
        <f t="shared" si="0"/>
        <v>15245.064</v>
      </c>
      <c r="AU24" s="3">
        <v>12990</v>
      </c>
      <c r="AV24" s="23">
        <v>0.1736</v>
      </c>
      <c r="AW24" s="2">
        <v>23.75336</v>
      </c>
      <c r="AX24" s="3">
        <v>36.33692</v>
      </c>
      <c r="AY24" s="3">
        <v>23.52094</v>
      </c>
      <c r="AZ24" s="3">
        <v>7.27203</v>
      </c>
      <c r="BA24" s="3">
        <v>26.63141</v>
      </c>
      <c r="BB24" s="3">
        <v>140.36127</v>
      </c>
      <c r="BC24" s="15">
        <f t="shared" si="25"/>
        <v>77938199999.1249</v>
      </c>
      <c r="BD24" s="15">
        <f t="shared" si="26"/>
        <v>18731282618.8834</v>
      </c>
      <c r="BE24" s="15">
        <f t="shared" si="27"/>
        <v>640205790498.23</v>
      </c>
      <c r="BF24" s="11">
        <f t="shared" si="28"/>
        <v>7.36875273116238</v>
      </c>
    </row>
    <row r="25" spans="1:58">
      <c r="A25" s="2">
        <v>2041</v>
      </c>
      <c r="B25" s="2">
        <v>31288</v>
      </c>
      <c r="F25" s="9"/>
      <c r="M25" s="17"/>
      <c r="U25" s="25"/>
      <c r="AT25" s="3">
        <f t="shared" si="0"/>
        <v>13140</v>
      </c>
      <c r="AU25" s="3">
        <v>13140</v>
      </c>
      <c r="AW25" s="2"/>
    </row>
    <row r="26" spans="1:58">
      <c r="A26" s="2">
        <v>2042</v>
      </c>
      <c r="B26" s="2">
        <v>31331</v>
      </c>
      <c r="F26" s="9"/>
      <c r="AT26" s="3">
        <f t="shared" si="0"/>
        <v>13270</v>
      </c>
      <c r="AU26" s="3">
        <v>13270</v>
      </c>
      <c r="AW26" s="2"/>
    </row>
    <row r="27" spans="1:58">
      <c r="A27" s="2">
        <v>2043</v>
      </c>
      <c r="B27" s="2">
        <v>31300</v>
      </c>
      <c r="F27" s="9"/>
      <c r="AT27" s="3">
        <f t="shared" si="0"/>
        <v>13390</v>
      </c>
      <c r="AU27" s="3">
        <v>13390</v>
      </c>
      <c r="AW27" s="2"/>
    </row>
    <row r="28" spans="1:58">
      <c r="A28" s="2">
        <v>2044</v>
      </c>
      <c r="B28" s="2">
        <v>31233</v>
      </c>
      <c r="F28" s="9"/>
      <c r="AT28" s="3">
        <f t="shared" si="0"/>
        <v>13510</v>
      </c>
      <c r="AU28" s="3">
        <v>13510</v>
      </c>
      <c r="AW28" s="2"/>
    </row>
    <row r="29" spans="1:58">
      <c r="A29" s="2">
        <v>2045</v>
      </c>
      <c r="B29" s="2">
        <v>31117</v>
      </c>
      <c r="F29" s="9"/>
      <c r="O29" s="17"/>
      <c r="Q29" s="17"/>
      <c r="R29" s="17"/>
      <c r="S29" s="17"/>
      <c r="T29" s="17"/>
      <c r="U29" s="17"/>
      <c r="V29" s="17"/>
      <c r="W29" s="17"/>
      <c r="AA29" s="17"/>
      <c r="AB29" s="17"/>
      <c r="AC29" s="17"/>
      <c r="AD29" s="17"/>
      <c r="AE29" s="17"/>
      <c r="AF29" s="17"/>
      <c r="AG29" s="17"/>
      <c r="AJ29" s="17"/>
      <c r="AK29" s="17"/>
      <c r="AL29" s="17"/>
      <c r="AM29" s="17"/>
      <c r="AN29" s="17"/>
      <c r="AO29" s="17"/>
      <c r="AP29" s="17"/>
      <c r="AQ29" s="17"/>
      <c r="AR29" s="17"/>
      <c r="AT29" s="3">
        <f t="shared" si="0"/>
        <v>13620</v>
      </c>
      <c r="AU29" s="3">
        <v>13620</v>
      </c>
      <c r="AW29" s="2"/>
      <c r="BF29" s="3">
        <f>SUM(BF5:BF24)</f>
        <v>153.339547769151</v>
      </c>
    </row>
    <row r="30" spans="1:58">
      <c r="A30" s="2">
        <v>2046</v>
      </c>
      <c r="B30" s="2">
        <v>30947</v>
      </c>
      <c r="F30" s="9"/>
      <c r="AT30" s="3">
        <f t="shared" si="0"/>
        <v>13720</v>
      </c>
      <c r="AU30" s="3">
        <v>13720</v>
      </c>
      <c r="AW30" s="2"/>
    </row>
    <row r="31" spans="1:58">
      <c r="A31" s="2">
        <v>2047</v>
      </c>
      <c r="B31" s="2">
        <v>30717</v>
      </c>
      <c r="F31" s="9"/>
      <c r="AT31" s="3">
        <f t="shared" si="0"/>
        <v>13800</v>
      </c>
      <c r="AU31" s="3">
        <v>13800</v>
      </c>
      <c r="AW31" s="2"/>
    </row>
    <row r="32" spans="1:58">
      <c r="A32" s="2">
        <v>2048</v>
      </c>
      <c r="B32" s="2">
        <v>30435</v>
      </c>
      <c r="F32" s="9"/>
      <c r="AT32" s="3">
        <f t="shared" si="0"/>
        <v>13880</v>
      </c>
      <c r="AU32" s="3">
        <v>13880</v>
      </c>
      <c r="AW32" s="2"/>
    </row>
    <row r="33" spans="1:49">
      <c r="A33" s="2">
        <v>2049</v>
      </c>
      <c r="B33" s="2">
        <v>30101</v>
      </c>
      <c r="F33" s="9"/>
      <c r="AT33" s="3">
        <f t="shared" si="0"/>
        <v>13950</v>
      </c>
      <c r="AU33" s="3">
        <v>13950</v>
      </c>
      <c r="AW33" s="2"/>
    </row>
    <row r="34" spans="1:49">
      <c r="A34" s="2">
        <v>2050</v>
      </c>
      <c r="B34" s="2">
        <v>29716</v>
      </c>
      <c r="F34" s="9"/>
      <c r="AT34" s="3">
        <f t="shared" si="0"/>
        <v>14020</v>
      </c>
      <c r="AU34" s="3">
        <v>14020</v>
      </c>
    </row>
    <row r="35" spans="1:49">
      <c r="I35" s="18"/>
    </row>
    <row r="36" spans="1:49">
      <c r="G36" s="19"/>
      <c r="I36" s="18"/>
      <c r="L36" s="19"/>
      <c r="M36" s="19"/>
      <c r="AI36" s="19"/>
    </row>
    <row r="37" spans="1:49">
      <c r="I37" s="18"/>
      <c r="L37" s="17"/>
      <c r="M37" s="17"/>
    </row>
    <row r="38" spans="1:49">
      <c r="I38" s="18"/>
      <c r="L38" s="17"/>
      <c r="M38" s="17"/>
    </row>
    <row r="39" spans="1:49">
      <c r="I39" s="18"/>
      <c r="L39" s="17"/>
      <c r="M39" s="17"/>
    </row>
    <row r="40" spans="1:49">
      <c r="B40" s="3"/>
      <c r="I40" s="18"/>
      <c r="L40" s="17"/>
      <c r="M40" s="17"/>
    </row>
    <row r="41" spans="1:49">
      <c r="I41" s="18"/>
      <c r="L41" s="17"/>
      <c r="M41" s="17"/>
    </row>
    <row r="42" spans="1:49">
      <c r="I42" s="18"/>
      <c r="L42" s="17"/>
      <c r="M42" s="17"/>
    </row>
    <row r="43" spans="1:49">
      <c r="I43" s="18"/>
      <c r="L43" s="17"/>
      <c r="M43" s="17"/>
    </row>
    <row r="44" spans="1:49">
      <c r="I44" s="18"/>
      <c r="L44" s="17"/>
      <c r="M44" s="17"/>
    </row>
    <row r="45" spans="1:49">
      <c r="I45" s="18"/>
      <c r="L45" s="17"/>
      <c r="M45" s="17"/>
    </row>
    <row r="46" spans="1:49">
      <c r="I46" s="18"/>
      <c r="L46" s="17"/>
      <c r="M46" s="17"/>
    </row>
    <row r="47" spans="1:49">
      <c r="I47" s="18"/>
      <c r="L47" s="17"/>
      <c r="M47" s="17"/>
    </row>
    <row r="48" spans="1:49">
      <c r="I48" s="18"/>
      <c r="L48" s="17"/>
      <c r="M48" s="17"/>
    </row>
    <row r="49" spans="9:13">
      <c r="I49" s="18"/>
      <c r="L49" s="17"/>
      <c r="M49" s="17"/>
    </row>
    <row r="50" spans="9:13">
      <c r="I50" s="18"/>
      <c r="L50" s="17"/>
      <c r="M50" s="17"/>
    </row>
    <row r="51" spans="9:13">
      <c r="I51" s="18"/>
      <c r="L51" s="17"/>
      <c r="M51" s="17"/>
    </row>
    <row r="52" spans="9:13">
      <c r="I52" s="18"/>
      <c r="L52" s="17"/>
      <c r="M52" s="17"/>
    </row>
    <row r="53" spans="9:13">
      <c r="I53" s="18"/>
      <c r="L53" s="17"/>
      <c r="M53" s="17"/>
    </row>
    <row r="54" spans="9:13">
      <c r="I54" s="18"/>
      <c r="L54" s="17"/>
      <c r="M54" s="17"/>
    </row>
    <row r="55" spans="9:13">
      <c r="I55" s="18"/>
      <c r="L55" s="17"/>
      <c r="M55" s="17"/>
    </row>
    <row r="56" spans="9:13">
      <c r="I56" s="18"/>
      <c r="L56" s="17"/>
      <c r="M56" s="17"/>
    </row>
    <row r="57" spans="9:13">
      <c r="I57" s="18"/>
      <c r="L57" s="17"/>
      <c r="M57" s="17"/>
    </row>
    <row r="58" spans="9:13">
      <c r="I58" s="18"/>
      <c r="L58" s="17"/>
      <c r="M58" s="17"/>
    </row>
    <row r="59" spans="9:13">
      <c r="I59" s="18"/>
      <c r="M59" s="17"/>
    </row>
    <row r="60" spans="9:13">
      <c r="I60" s="18"/>
      <c r="M60" s="17"/>
    </row>
    <row r="61" spans="9:13">
      <c r="I61" s="18"/>
      <c r="M61" s="17"/>
    </row>
    <row r="62" spans="9:13">
      <c r="I62" s="18"/>
      <c r="M62" s="17"/>
    </row>
    <row r="63" spans="9:13">
      <c r="I63" s="18"/>
      <c r="M63" s="17"/>
    </row>
    <row r="64" spans="9:13">
      <c r="I64" s="18"/>
      <c r="M64" s="17"/>
    </row>
    <row r="65" spans="9:13">
      <c r="I65" s="18"/>
      <c r="M65" s="17"/>
    </row>
    <row r="66" spans="9:13">
      <c r="I66" s="18"/>
    </row>
    <row r="67" spans="9:13">
      <c r="I67" s="18"/>
    </row>
    <row r="68" spans="9:13">
      <c r="I68" s="18"/>
    </row>
    <row r="69" spans="9:13">
      <c r="I69" s="18"/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69"/>
  <sheetViews>
    <sheetView zoomScale="81" zoomScaleNormal="81" topLeftCell="W1" workbookViewId="0">
      <selection activeCell="AB5" sqref="AB5:AD24"/>
    </sheetView>
  </sheetViews>
  <sheetFormatPr defaultColWidth="9" defaultRowHeight="14"/>
  <cols>
    <col min="1" max="1" width="9" style="2"/>
    <col min="2" max="5" width="13" style="2" customWidth="1"/>
    <col min="6" max="6" width="16.8583333333333" style="2" customWidth="1"/>
    <col min="7" max="7" width="16" style="2" customWidth="1"/>
    <col min="8" max="10" width="18.8583333333333" style="2" customWidth="1"/>
    <col min="11" max="11" width="19.3583333333333" style="2" customWidth="1"/>
    <col min="12" max="12" width="18.7083333333333" style="2" customWidth="1"/>
    <col min="13" max="17" width="18" style="2" customWidth="1"/>
    <col min="18" max="18" width="21" style="2" customWidth="1"/>
    <col min="19" max="19" width="22.6416666666667" style="2" customWidth="1"/>
    <col min="20" max="20" width="19" style="3" customWidth="1"/>
    <col min="21" max="22" width="19.3583333333333" style="3" customWidth="1"/>
    <col min="23" max="23" width="21.3583333333333" style="3" customWidth="1"/>
    <col min="24" max="27" width="17.1416666666667" style="3" customWidth="1"/>
    <col min="28" max="28" width="13.1416666666667" style="3" customWidth="1"/>
    <col min="29" max="29" width="15.8583333333333" style="3" customWidth="1"/>
    <col min="30" max="30" width="11.5" style="3" customWidth="1"/>
    <col min="31" max="31" width="13.8583333333333" style="3" customWidth="1"/>
    <col min="32" max="16384" width="9" style="3"/>
  </cols>
  <sheetData>
    <row r="1" spans="1:31">
      <c r="A1" s="2" t="s">
        <v>0</v>
      </c>
      <c r="B1" s="2" t="s">
        <v>1</v>
      </c>
      <c r="C1" s="4" t="s">
        <v>8</v>
      </c>
      <c r="D1" s="2" t="s">
        <v>9</v>
      </c>
      <c r="E1" s="2" t="s">
        <v>10</v>
      </c>
      <c r="F1" s="2" t="s">
        <v>11</v>
      </c>
      <c r="G1" s="2" t="s">
        <v>2</v>
      </c>
      <c r="H1" s="4" t="s">
        <v>12</v>
      </c>
      <c r="I1" s="2" t="s">
        <v>13</v>
      </c>
      <c r="J1" s="2" t="s">
        <v>14</v>
      </c>
      <c r="K1" s="2" t="s">
        <v>15</v>
      </c>
      <c r="L1" s="3" t="s">
        <v>16</v>
      </c>
      <c r="M1" s="3" t="s">
        <v>17</v>
      </c>
      <c r="N1" s="2" t="s">
        <v>18</v>
      </c>
      <c r="O1" s="2" t="s">
        <v>19</v>
      </c>
      <c r="P1" s="2" t="s">
        <v>28</v>
      </c>
      <c r="Q1" s="3" t="s">
        <v>29</v>
      </c>
      <c r="R1" s="3" t="s">
        <v>38</v>
      </c>
      <c r="S1" s="3" t="s">
        <v>39</v>
      </c>
      <c r="T1" s="2" t="s">
        <v>50</v>
      </c>
      <c r="U1" s="2" t="s">
        <v>3</v>
      </c>
      <c r="V1" s="2" t="s">
        <v>52</v>
      </c>
      <c r="W1" s="2" t="s">
        <v>53</v>
      </c>
      <c r="X1" s="2" t="s">
        <v>4</v>
      </c>
      <c r="Y1" s="2" t="s">
        <v>54</v>
      </c>
      <c r="Z1" s="2" t="s">
        <v>55</v>
      </c>
      <c r="AA1" s="2" t="s">
        <v>5</v>
      </c>
      <c r="AB1" s="5" t="s">
        <v>56</v>
      </c>
      <c r="AC1" s="5" t="s">
        <v>57</v>
      </c>
      <c r="AD1" s="5" t="s">
        <v>6</v>
      </c>
      <c r="AE1" s="5" t="s">
        <v>7</v>
      </c>
    </row>
    <row r="2" spans="1:31">
      <c r="A2" s="2">
        <v>2018</v>
      </c>
      <c r="B2" s="2">
        <v>25411</v>
      </c>
      <c r="C2" s="4"/>
      <c r="G2" s="2">
        <v>202332</v>
      </c>
      <c r="H2" s="4"/>
      <c r="T2" s="3">
        <v>10790</v>
      </c>
      <c r="U2" s="3">
        <v>10790</v>
      </c>
      <c r="V2" s="2"/>
    </row>
    <row r="3" spans="1:31">
      <c r="A3" s="2">
        <v>2019</v>
      </c>
      <c r="B3" s="2">
        <v>23562</v>
      </c>
      <c r="C3" s="7">
        <f>1-F3</f>
        <v>0.0419803617850996</v>
      </c>
      <c r="D3" s="8">
        <v>0.032599898876045</v>
      </c>
      <c r="E3" s="8">
        <v>0.00938046290905463</v>
      </c>
      <c r="F3" s="9">
        <v>0.9580196382149</v>
      </c>
      <c r="G3" s="2">
        <v>222992</v>
      </c>
      <c r="H3" s="4">
        <f>I3+J3</f>
        <v>3761.60572462367</v>
      </c>
      <c r="I3" s="2">
        <v>2938.92945136004</v>
      </c>
      <c r="J3" s="2">
        <v>822.676273263626</v>
      </c>
      <c r="K3" s="2">
        <v>219230.550413899</v>
      </c>
      <c r="L3" s="10">
        <f t="shared" ref="L3:L24" si="0">C3*B3</f>
        <v>989.141284380516</v>
      </c>
      <c r="M3" s="10"/>
      <c r="N3" s="4">
        <f>D3*B3</f>
        <v>768.118817317372</v>
      </c>
      <c r="O3" s="4"/>
      <c r="P3" s="4">
        <f>E3*B3</f>
        <v>221.022467063145</v>
      </c>
      <c r="Q3" s="4"/>
      <c r="R3" s="4">
        <f>B3*F3</f>
        <v>22572.8587156195</v>
      </c>
      <c r="S3" s="4"/>
      <c r="T3" s="3">
        <v>10590</v>
      </c>
      <c r="U3" s="3">
        <v>10590</v>
      </c>
      <c r="V3" s="2"/>
    </row>
    <row r="4" spans="1:31">
      <c r="A4" s="2">
        <v>2020</v>
      </c>
      <c r="B4" s="2">
        <v>24584</v>
      </c>
      <c r="C4" s="7">
        <f t="shared" ref="C4:C24" si="1">1-F4</f>
        <v>0.048418717521153</v>
      </c>
      <c r="D4" s="8">
        <v>0.032875363716192</v>
      </c>
      <c r="E4" s="8">
        <v>0.015543353804961</v>
      </c>
      <c r="F4" s="9">
        <v>0.951581282478847</v>
      </c>
      <c r="G4" s="2">
        <v>240900</v>
      </c>
      <c r="H4" s="4">
        <f t="shared" ref="H4:H24" si="2">I4+J4</f>
        <v>4933.52636113495</v>
      </c>
      <c r="I4" s="2">
        <v>3737.50948282408</v>
      </c>
      <c r="J4" s="2">
        <v>1196.01687831087</v>
      </c>
      <c r="K4" s="2">
        <v>235966.222289356</v>
      </c>
      <c r="L4" s="10">
        <f t="shared" si="0"/>
        <v>1190.32575154003</v>
      </c>
      <c r="M4" s="10">
        <f>H3+L4-H4</f>
        <v>18.4051150287432</v>
      </c>
      <c r="N4" s="4">
        <f t="shared" ref="N4:N24" si="3">D4*B4</f>
        <v>808.207941598863</v>
      </c>
      <c r="O4" s="4">
        <f>I3+N4-I4</f>
        <v>9.62791013482638</v>
      </c>
      <c r="P4" s="4">
        <f t="shared" ref="P4:P24" si="4">E4*B4</f>
        <v>382.117809941162</v>
      </c>
      <c r="Q4" s="4">
        <f>J3+P4-J4</f>
        <v>8.77720489391663</v>
      </c>
      <c r="R4" s="4">
        <f t="shared" ref="R4:R24" si="5">B4*F4</f>
        <v>23393.67424846</v>
      </c>
      <c r="S4" s="4">
        <f>R4+K3-K4</f>
        <v>6658.00237300285</v>
      </c>
      <c r="T4" s="3">
        <v>10560</v>
      </c>
      <c r="U4" s="3">
        <v>10560</v>
      </c>
      <c r="V4" s="2"/>
      <c r="AB4" s="11"/>
      <c r="AC4" s="11"/>
      <c r="AD4" s="11"/>
      <c r="AE4" s="11"/>
    </row>
    <row r="5" spans="1:31">
      <c r="A5" s="2">
        <v>2021</v>
      </c>
      <c r="B5" s="2">
        <v>25535</v>
      </c>
      <c r="C5" s="7">
        <f t="shared" si="1"/>
        <v>0.0853030714432165</v>
      </c>
      <c r="D5" s="8">
        <v>0.0625742701882644</v>
      </c>
      <c r="E5" s="8">
        <v>0.0227288012549521</v>
      </c>
      <c r="F5" s="9">
        <v>0.914696928556784</v>
      </c>
      <c r="G5" s="2">
        <v>258441</v>
      </c>
      <c r="H5" s="4">
        <f t="shared" si="2"/>
        <v>7077.55008760057</v>
      </c>
      <c r="I5" s="2">
        <v>5305.87445977142</v>
      </c>
      <c r="J5" s="2">
        <v>1771.67562782915</v>
      </c>
      <c r="K5" s="2">
        <v>251363.517513367</v>
      </c>
      <c r="L5" s="10">
        <f t="shared" si="0"/>
        <v>2178.21392930253</v>
      </c>
      <c r="M5" s="10">
        <f t="shared" ref="M5:M24" si="6">H4+L5-H5</f>
        <v>34.1902028369113</v>
      </c>
      <c r="N5" s="4">
        <f t="shared" si="3"/>
        <v>1597.83398925733</v>
      </c>
      <c r="O5" s="4">
        <f t="shared" ref="O5:O24" si="7">I4+N5-I5</f>
        <v>29.4690123099899</v>
      </c>
      <c r="P5" s="4">
        <f t="shared" si="4"/>
        <v>580.379940045201</v>
      </c>
      <c r="Q5" s="4">
        <f t="shared" ref="Q5:Q24" si="8">J4+P5-J5</f>
        <v>4.72119052692278</v>
      </c>
      <c r="R5" s="4">
        <f t="shared" si="5"/>
        <v>23356.7860706975</v>
      </c>
      <c r="S5" s="4">
        <f t="shared" ref="S5:S24" si="9">R5+K4-K5</f>
        <v>7959.49084668668</v>
      </c>
      <c r="T5" s="3">
        <v>10540</v>
      </c>
      <c r="U5" s="3">
        <v>10540</v>
      </c>
      <c r="V5" s="1">
        <v>69.96</v>
      </c>
      <c r="W5" s="1">
        <v>87.12</v>
      </c>
      <c r="X5" s="1">
        <v>60.36</v>
      </c>
      <c r="Y5" s="1">
        <v>81.15</v>
      </c>
      <c r="Z5" s="1">
        <v>127.98</v>
      </c>
      <c r="AA5" s="3">
        <v>205.33</v>
      </c>
      <c r="AB5" s="15">
        <f t="shared" ref="AB5:AB24" si="10">V5*T5*15*N5+Y5*T5*I5</f>
        <v>22211349905.769</v>
      </c>
      <c r="AC5" s="15">
        <f t="shared" ref="AC5:AC24" si="11">W5*T5*15*P5+J5*T5*Z5</f>
        <v>10383792483.3568</v>
      </c>
      <c r="AD5" s="15">
        <f t="shared" ref="AD5:AD24" si="12">U5*X5*15*R5+K5*U5*AA5</f>
        <v>766887292380.383</v>
      </c>
      <c r="AE5" s="15">
        <f t="shared" ref="AE5:AE24" si="13">(AD5+AC5+AB5)/100000000000</f>
        <v>7.99482434769509</v>
      </c>
    </row>
    <row r="6" spans="1:31">
      <c r="A6" s="2">
        <v>2022</v>
      </c>
      <c r="B6" s="2">
        <v>26419</v>
      </c>
      <c r="C6" s="7">
        <f t="shared" si="1"/>
        <v>0.0948372473238583</v>
      </c>
      <c r="D6" s="8">
        <v>0.0714844983147803</v>
      </c>
      <c r="E6" s="8">
        <v>0.0233527490090781</v>
      </c>
      <c r="F6" s="9">
        <v>0.905162752676142</v>
      </c>
      <c r="G6" s="2">
        <v>275271</v>
      </c>
      <c r="H6" s="4">
        <f t="shared" si="2"/>
        <v>9519.25801058289</v>
      </c>
      <c r="I6" s="2">
        <v>7133.62247037181</v>
      </c>
      <c r="J6" s="2">
        <v>2385.63554021108</v>
      </c>
      <c r="K6" s="2">
        <v>265751.540156694</v>
      </c>
      <c r="L6" s="10">
        <f t="shared" si="0"/>
        <v>2505.50523704901</v>
      </c>
      <c r="M6" s="10">
        <f t="shared" si="6"/>
        <v>63.7973140666927</v>
      </c>
      <c r="N6" s="4">
        <f t="shared" si="3"/>
        <v>1888.54896097818</v>
      </c>
      <c r="O6" s="4">
        <f t="shared" si="7"/>
        <v>60.8009503777894</v>
      </c>
      <c r="P6" s="4">
        <f t="shared" si="4"/>
        <v>616.956276070835</v>
      </c>
      <c r="Q6" s="4">
        <f t="shared" si="8"/>
        <v>2.99636368890333</v>
      </c>
      <c r="R6" s="4">
        <f t="shared" si="5"/>
        <v>23913.494762951</v>
      </c>
      <c r="S6" s="4">
        <f t="shared" si="9"/>
        <v>9525.47211962473</v>
      </c>
      <c r="T6" s="3">
        <v>10530</v>
      </c>
      <c r="U6" s="3">
        <v>10530</v>
      </c>
      <c r="V6" s="2">
        <v>52.09809</v>
      </c>
      <c r="W6" s="3">
        <v>62.70172</v>
      </c>
      <c r="X6" s="3">
        <v>42.67227</v>
      </c>
      <c r="Y6" s="3">
        <v>65.73519</v>
      </c>
      <c r="Z6" s="3">
        <v>117.66935</v>
      </c>
      <c r="AA6" s="3">
        <v>189.54605</v>
      </c>
      <c r="AB6" s="15">
        <f t="shared" si="10"/>
        <v>20478501120.8628</v>
      </c>
      <c r="AC6" s="15">
        <f t="shared" si="11"/>
        <v>9066113908.28994</v>
      </c>
      <c r="AD6" s="15">
        <f t="shared" si="12"/>
        <v>691597777643.102</v>
      </c>
      <c r="AE6" s="11">
        <f t="shared" si="13"/>
        <v>7.21142392672254</v>
      </c>
    </row>
    <row r="7" spans="1:31">
      <c r="A7" s="2">
        <v>2023</v>
      </c>
      <c r="B7" s="2">
        <v>27241</v>
      </c>
      <c r="C7" s="7">
        <f t="shared" si="1"/>
        <v>0.113208921785586</v>
      </c>
      <c r="D7" s="8">
        <v>0.085150312799082</v>
      </c>
      <c r="E7" s="8">
        <v>0.0280586089865036</v>
      </c>
      <c r="F7" s="9">
        <v>0.886791078214414</v>
      </c>
      <c r="G7" s="2">
        <v>291214</v>
      </c>
      <c r="H7" s="4">
        <f t="shared" si="2"/>
        <v>12461.0783897459</v>
      </c>
      <c r="I7" s="2">
        <v>9313.60419080649</v>
      </c>
      <c r="J7" s="2">
        <v>3147.47419893943</v>
      </c>
      <c r="K7" s="2">
        <v>278752.829191179</v>
      </c>
      <c r="L7" s="10">
        <f t="shared" si="0"/>
        <v>3083.92423836114</v>
      </c>
      <c r="M7" s="10">
        <f t="shared" si="6"/>
        <v>142.103859198116</v>
      </c>
      <c r="N7" s="4">
        <f t="shared" si="3"/>
        <v>2319.57967095979</v>
      </c>
      <c r="O7" s="4">
        <f t="shared" si="7"/>
        <v>139.597950525118</v>
      </c>
      <c r="P7" s="4">
        <f t="shared" si="4"/>
        <v>764.344567401344</v>
      </c>
      <c r="Q7" s="4">
        <f t="shared" si="8"/>
        <v>2.50590867299798</v>
      </c>
      <c r="R7" s="4">
        <f t="shared" si="5"/>
        <v>24157.0757616389</v>
      </c>
      <c r="S7" s="4">
        <f t="shared" si="9"/>
        <v>11155.7867271539</v>
      </c>
      <c r="T7" s="3">
        <v>10550</v>
      </c>
      <c r="U7" s="3">
        <v>10550</v>
      </c>
      <c r="V7" s="2">
        <v>47.42175</v>
      </c>
      <c r="W7" s="3">
        <v>58.71076</v>
      </c>
      <c r="X7" s="3">
        <v>39.9342</v>
      </c>
      <c r="Y7" s="3">
        <v>52.13026</v>
      </c>
      <c r="Z7" s="3">
        <v>106.51008</v>
      </c>
      <c r="AA7" s="3">
        <v>178.8799</v>
      </c>
      <c r="AB7" s="15">
        <f t="shared" si="10"/>
        <v>22529509353.5471</v>
      </c>
      <c r="AC7" s="15">
        <f t="shared" si="11"/>
        <v>10638266422.4157</v>
      </c>
      <c r="AD7" s="15">
        <f t="shared" si="12"/>
        <v>678720330684.921</v>
      </c>
      <c r="AE7" s="11">
        <f t="shared" si="13"/>
        <v>7.11888106460884</v>
      </c>
    </row>
    <row r="8" spans="1:31">
      <c r="A8" s="2">
        <v>2024</v>
      </c>
      <c r="B8" s="2">
        <v>27993</v>
      </c>
      <c r="C8" s="7">
        <f t="shared" si="1"/>
        <v>0.151921549573801</v>
      </c>
      <c r="D8" s="8">
        <v>0.117148866299154</v>
      </c>
      <c r="E8" s="8">
        <v>0.0347726832746464</v>
      </c>
      <c r="F8" s="9">
        <v>0.848078450426199</v>
      </c>
      <c r="G8" s="2">
        <v>306166</v>
      </c>
      <c r="H8" s="4">
        <f t="shared" si="2"/>
        <v>16506.4772076612</v>
      </c>
      <c r="I8" s="2">
        <v>12386.0870320505</v>
      </c>
      <c r="J8" s="2">
        <v>4120.39017561064</v>
      </c>
      <c r="K8" s="2">
        <v>289658.978149812</v>
      </c>
      <c r="L8" s="10">
        <f t="shared" si="0"/>
        <v>4252.7399372194</v>
      </c>
      <c r="M8" s="10">
        <f t="shared" si="6"/>
        <v>207.341119304139</v>
      </c>
      <c r="N8" s="4">
        <f t="shared" si="3"/>
        <v>3279.34821431223</v>
      </c>
      <c r="O8" s="4">
        <f t="shared" si="7"/>
        <v>206.865373068174</v>
      </c>
      <c r="P8" s="4">
        <f t="shared" si="4"/>
        <v>973.391722907178</v>
      </c>
      <c r="Q8" s="4">
        <f t="shared" si="8"/>
        <v>0.475746235962106</v>
      </c>
      <c r="R8" s="4">
        <f t="shared" si="5"/>
        <v>23740.2600627806</v>
      </c>
      <c r="S8" s="4">
        <f t="shared" si="9"/>
        <v>12834.1111041472</v>
      </c>
      <c r="T8" s="3">
        <v>10590</v>
      </c>
      <c r="U8" s="3">
        <v>10590</v>
      </c>
      <c r="V8" s="2">
        <v>44.25577</v>
      </c>
      <c r="W8" s="3">
        <v>55.75627</v>
      </c>
      <c r="X8" s="3">
        <v>37.98595</v>
      </c>
      <c r="Y8" s="3">
        <v>40.59125</v>
      </c>
      <c r="Z8" s="3">
        <v>93.18575</v>
      </c>
      <c r="AA8" s="3">
        <v>171.22905</v>
      </c>
      <c r="AB8" s="15">
        <f t="shared" si="10"/>
        <v>28378213197.2198</v>
      </c>
      <c r="AC8" s="15">
        <f t="shared" si="11"/>
        <v>12687370940.2977</v>
      </c>
      <c r="AD8" s="15">
        <f t="shared" si="12"/>
        <v>668493502496.236</v>
      </c>
      <c r="AE8" s="11">
        <f t="shared" si="13"/>
        <v>7.09559086633754</v>
      </c>
    </row>
    <row r="9" spans="1:31">
      <c r="A9" s="2">
        <v>2025</v>
      </c>
      <c r="B9" s="2">
        <v>28671</v>
      </c>
      <c r="C9" s="7">
        <f t="shared" si="1"/>
        <v>0.209462516960962</v>
      </c>
      <c r="D9" s="8">
        <v>0.164993883786381</v>
      </c>
      <c r="E9" s="8">
        <v>0.0445686331745817</v>
      </c>
      <c r="F9" s="9">
        <v>0.790537483039038</v>
      </c>
      <c r="G9" s="2">
        <v>320049</v>
      </c>
      <c r="H9" s="4">
        <f t="shared" si="2"/>
        <v>22278.4307772384</v>
      </c>
      <c r="I9" s="2">
        <v>16880.7057955733</v>
      </c>
      <c r="J9" s="2">
        <v>5397.72498166505</v>
      </c>
      <c r="K9" s="2">
        <v>297770.377292236</v>
      </c>
      <c r="L9" s="10">
        <f>C9*B9+2.86709999999925</f>
        <v>6008.36692378775</v>
      </c>
      <c r="M9" s="10">
        <f t="shared" si="6"/>
        <v>236.413354210563</v>
      </c>
      <c r="N9" s="4">
        <f t="shared" si="3"/>
        <v>4730.53964203932</v>
      </c>
      <c r="O9" s="4">
        <f t="shared" si="7"/>
        <v>235.920878516539</v>
      </c>
      <c r="P9" s="4">
        <f t="shared" si="4"/>
        <v>1277.82728174843</v>
      </c>
      <c r="Q9" s="4">
        <f t="shared" si="8"/>
        <v>0.492475694025416</v>
      </c>
      <c r="R9" s="4">
        <f t="shared" si="5"/>
        <v>22665.5001762122</v>
      </c>
      <c r="S9" s="4">
        <f t="shared" si="9"/>
        <v>14554.101033788</v>
      </c>
      <c r="T9" s="3">
        <v>10670</v>
      </c>
      <c r="U9" s="3">
        <v>10670</v>
      </c>
      <c r="V9" s="2">
        <v>41.80587</v>
      </c>
      <c r="W9" s="3">
        <v>53.40231</v>
      </c>
      <c r="X9" s="3">
        <v>36.52155</v>
      </c>
      <c r="Y9" s="3">
        <v>30.68642</v>
      </c>
      <c r="Z9" s="3">
        <v>66.79401</v>
      </c>
      <c r="AA9" s="3">
        <v>165.22307</v>
      </c>
      <c r="AB9" s="15">
        <f t="shared" si="10"/>
        <v>37179330191.1694</v>
      </c>
      <c r="AC9" s="15">
        <f t="shared" si="11"/>
        <v>14768556407.2688</v>
      </c>
      <c r="AD9" s="15">
        <f t="shared" si="12"/>
        <v>657434438593.559</v>
      </c>
      <c r="AE9" s="11">
        <f t="shared" si="13"/>
        <v>7.09382325191997</v>
      </c>
    </row>
    <row r="10" spans="1:31">
      <c r="A10" s="2">
        <v>2026</v>
      </c>
      <c r="B10" s="2">
        <v>29267</v>
      </c>
      <c r="C10" s="7">
        <f t="shared" si="1"/>
        <v>0.226704534021912</v>
      </c>
      <c r="D10" s="8">
        <v>0.175460775773863</v>
      </c>
      <c r="E10" s="8">
        <v>0.0512437582480487</v>
      </c>
      <c r="F10" s="9">
        <v>0.773295465978088</v>
      </c>
      <c r="G10" s="2">
        <v>332813</v>
      </c>
      <c r="H10" s="4">
        <f t="shared" si="2"/>
        <v>28616.7302102575</v>
      </c>
      <c r="I10" s="2">
        <v>21719.2794863226</v>
      </c>
      <c r="J10" s="2">
        <v>6897.45072393496</v>
      </c>
      <c r="K10" s="2">
        <v>304197.063458072</v>
      </c>
      <c r="L10" s="10">
        <f>C10*B10</f>
        <v>6634.9615972193</v>
      </c>
      <c r="M10" s="10">
        <f t="shared" si="6"/>
        <v>296.662164200159</v>
      </c>
      <c r="N10" s="4">
        <f t="shared" si="3"/>
        <v>5135.21052457366</v>
      </c>
      <c r="O10" s="4">
        <f t="shared" si="7"/>
        <v>296.636833824425</v>
      </c>
      <c r="P10" s="4">
        <f t="shared" si="4"/>
        <v>1499.75107264564</v>
      </c>
      <c r="Q10" s="4">
        <f t="shared" si="8"/>
        <v>0.0253303757344838</v>
      </c>
      <c r="R10" s="4">
        <f t="shared" si="5"/>
        <v>22632.0384027807</v>
      </c>
      <c r="S10" s="4">
        <f t="shared" si="9"/>
        <v>16205.3522369444</v>
      </c>
      <c r="T10" s="3">
        <v>10790</v>
      </c>
      <c r="U10" s="3">
        <v>10790</v>
      </c>
      <c r="V10" s="2">
        <v>39.82715</v>
      </c>
      <c r="W10" s="3">
        <v>51.47193</v>
      </c>
      <c r="X10" s="3">
        <v>35.33566</v>
      </c>
      <c r="Y10" s="3">
        <v>23.45231</v>
      </c>
      <c r="Z10" s="3">
        <v>40.25758</v>
      </c>
      <c r="AA10" s="3">
        <v>160.34636</v>
      </c>
      <c r="AB10" s="15">
        <f t="shared" si="10"/>
        <v>38597764357.2506</v>
      </c>
      <c r="AC10" s="15">
        <f t="shared" si="11"/>
        <v>15490133794.563</v>
      </c>
      <c r="AD10" s="15">
        <f t="shared" si="12"/>
        <v>655737023625.295</v>
      </c>
      <c r="AE10" s="11">
        <f t="shared" si="13"/>
        <v>7.09824921777108</v>
      </c>
    </row>
    <row r="11" spans="1:31">
      <c r="A11" s="2">
        <v>2027</v>
      </c>
      <c r="B11" s="2">
        <v>29821</v>
      </c>
      <c r="C11" s="7">
        <f t="shared" si="1"/>
        <v>0.245642519234013</v>
      </c>
      <c r="D11" s="8">
        <v>0.186948865151382</v>
      </c>
      <c r="E11" s="8">
        <v>0.0586936540826313</v>
      </c>
      <c r="F11" s="9">
        <v>0.754357480765987</v>
      </c>
      <c r="G11" s="2">
        <v>344472</v>
      </c>
      <c r="H11" s="4">
        <f t="shared" si="2"/>
        <v>35569.8505367146</v>
      </c>
      <c r="I11" s="2">
        <v>26928.1597531463</v>
      </c>
      <c r="J11" s="2">
        <v>8641.69078356824</v>
      </c>
      <c r="K11" s="2">
        <v>308902.257462042</v>
      </c>
      <c r="L11" s="10">
        <f t="shared" si="0"/>
        <v>7325.30556607752</v>
      </c>
      <c r="M11" s="10">
        <f t="shared" si="6"/>
        <v>372.18523962047</v>
      </c>
      <c r="N11" s="4">
        <f t="shared" si="3"/>
        <v>5575.00210767937</v>
      </c>
      <c r="O11" s="4">
        <f t="shared" si="7"/>
        <v>366.121840855609</v>
      </c>
      <c r="P11" s="4">
        <f t="shared" si="4"/>
        <v>1750.30345839815</v>
      </c>
      <c r="Q11" s="4">
        <f t="shared" si="8"/>
        <v>6.06339876486527</v>
      </c>
      <c r="R11" s="4">
        <f t="shared" si="5"/>
        <v>22495.6944339225</v>
      </c>
      <c r="S11" s="4">
        <f t="shared" si="9"/>
        <v>17790.5004299529</v>
      </c>
      <c r="T11" s="3">
        <v>10940</v>
      </c>
      <c r="U11" s="3">
        <v>10940</v>
      </c>
      <c r="V11" s="2">
        <v>38.09681</v>
      </c>
      <c r="W11" s="3">
        <v>49.73486</v>
      </c>
      <c r="X11" s="3">
        <v>34.24905</v>
      </c>
      <c r="Y11" s="3">
        <v>19.34941</v>
      </c>
      <c r="Z11" s="3">
        <v>37.03209</v>
      </c>
      <c r="AA11" s="3">
        <v>156.69066</v>
      </c>
      <c r="AB11" s="15">
        <f t="shared" si="10"/>
        <v>40553386930.6096</v>
      </c>
      <c r="AC11" s="15">
        <f t="shared" si="11"/>
        <v>17786102480.4325</v>
      </c>
      <c r="AD11" s="15">
        <f t="shared" si="12"/>
        <v>655950815076.052</v>
      </c>
      <c r="AE11" s="11">
        <f t="shared" si="13"/>
        <v>7.14290304487094</v>
      </c>
    </row>
    <row r="12" spans="1:31">
      <c r="A12" s="2">
        <v>2028</v>
      </c>
      <c r="B12" s="2">
        <v>30337</v>
      </c>
      <c r="C12" s="7">
        <f t="shared" si="1"/>
        <v>0.266837869996607</v>
      </c>
      <c r="D12" s="8">
        <v>0.196592723750158</v>
      </c>
      <c r="E12" s="8">
        <v>0.0702451462464487</v>
      </c>
      <c r="F12" s="9">
        <v>0.733162130003393</v>
      </c>
      <c r="G12" s="2">
        <v>355083</v>
      </c>
      <c r="H12" s="4">
        <f t="shared" si="2"/>
        <v>43186.7966272484</v>
      </c>
      <c r="I12" s="2">
        <v>32429.9416267001</v>
      </c>
      <c r="J12" s="2">
        <v>10756.8550005483</v>
      </c>
      <c r="K12" s="2">
        <v>311896.164483548</v>
      </c>
      <c r="L12" s="10">
        <f t="shared" si="0"/>
        <v>8095.06046208706</v>
      </c>
      <c r="M12" s="10">
        <f t="shared" si="6"/>
        <v>478.114371553238</v>
      </c>
      <c r="N12" s="4">
        <f t="shared" si="3"/>
        <v>5964.03346040854</v>
      </c>
      <c r="O12" s="4">
        <f t="shared" si="7"/>
        <v>462.251586854793</v>
      </c>
      <c r="P12" s="4">
        <f t="shared" si="4"/>
        <v>2131.02700167852</v>
      </c>
      <c r="Q12" s="4">
        <f t="shared" si="8"/>
        <v>15.8627846984309</v>
      </c>
      <c r="R12" s="4">
        <f t="shared" si="5"/>
        <v>22241.9395379129</v>
      </c>
      <c r="S12" s="4">
        <f t="shared" si="9"/>
        <v>19248.0325164067</v>
      </c>
      <c r="T12" s="3">
        <v>11100</v>
      </c>
      <c r="U12" s="3">
        <v>11100</v>
      </c>
      <c r="V12" s="2">
        <v>36.53956</v>
      </c>
      <c r="W12" s="3">
        <v>48.18863</v>
      </c>
      <c r="X12" s="3">
        <v>33.334</v>
      </c>
      <c r="Y12" s="3">
        <v>16.77433</v>
      </c>
      <c r="Z12" s="3">
        <v>34.87811</v>
      </c>
      <c r="AA12" s="3">
        <v>153.97254</v>
      </c>
      <c r="AB12" s="15">
        <f t="shared" si="10"/>
        <v>42322500909.2926</v>
      </c>
      <c r="AC12" s="15">
        <f t="shared" si="11"/>
        <v>21262581107.4898</v>
      </c>
      <c r="AD12" s="15">
        <f t="shared" si="12"/>
        <v>656505469036.571</v>
      </c>
      <c r="AE12" s="11">
        <f t="shared" si="13"/>
        <v>7.20090551053353</v>
      </c>
    </row>
    <row r="13" spans="1:31">
      <c r="A13" s="2">
        <v>2029</v>
      </c>
      <c r="B13" s="2">
        <v>30767</v>
      </c>
      <c r="C13" s="7">
        <f t="shared" si="1"/>
        <v>0.290225747149396</v>
      </c>
      <c r="D13" s="8">
        <v>0.207531450925898</v>
      </c>
      <c r="E13" s="8">
        <v>0.0826942962234978</v>
      </c>
      <c r="F13" s="9">
        <v>0.709774252850604</v>
      </c>
      <c r="G13" s="2">
        <v>364714</v>
      </c>
      <c r="H13" s="4">
        <f t="shared" si="2"/>
        <v>51490.7117876278</v>
      </c>
      <c r="I13" s="2">
        <v>38222.9426280635</v>
      </c>
      <c r="J13" s="2">
        <v>13267.7691595642</v>
      </c>
      <c r="K13" s="2">
        <v>313224.082259062</v>
      </c>
      <c r="L13" s="10">
        <f t="shared" si="0"/>
        <v>8929.37556254546</v>
      </c>
      <c r="M13" s="10">
        <f t="shared" si="6"/>
        <v>625.460402166056</v>
      </c>
      <c r="N13" s="4">
        <f t="shared" si="3"/>
        <v>6385.1201506371</v>
      </c>
      <c r="O13" s="4">
        <f t="shared" si="7"/>
        <v>592.119149273611</v>
      </c>
      <c r="P13" s="4">
        <f t="shared" si="4"/>
        <v>2544.25541190836</v>
      </c>
      <c r="Q13" s="4">
        <f t="shared" si="8"/>
        <v>33.3412528924491</v>
      </c>
      <c r="R13" s="4">
        <f t="shared" si="5"/>
        <v>21837.6244374545</v>
      </c>
      <c r="S13" s="4">
        <f t="shared" si="9"/>
        <v>20509.7066619407</v>
      </c>
      <c r="T13" s="3">
        <v>11270</v>
      </c>
      <c r="U13" s="3">
        <v>11270</v>
      </c>
      <c r="V13" s="2">
        <v>35.08596</v>
      </c>
      <c r="W13" s="3">
        <v>46.82755</v>
      </c>
      <c r="X13" s="3">
        <v>32.43809</v>
      </c>
      <c r="Y13" s="3">
        <v>14.92374</v>
      </c>
      <c r="Z13" s="3">
        <v>33.3221</v>
      </c>
      <c r="AA13" s="3">
        <v>151.80099</v>
      </c>
      <c r="AB13" s="15">
        <f t="shared" si="10"/>
        <v>44300683002.9735</v>
      </c>
      <c r="AC13" s="15">
        <f t="shared" si="11"/>
        <v>25123406811.3496</v>
      </c>
      <c r="AD13" s="15">
        <f t="shared" si="12"/>
        <v>655612957812.18</v>
      </c>
      <c r="AE13" s="11">
        <f t="shared" si="13"/>
        <v>7.25037047626503</v>
      </c>
    </row>
    <row r="14" spans="1:31">
      <c r="A14" s="2">
        <v>2030</v>
      </c>
      <c r="B14" s="2">
        <v>31057</v>
      </c>
      <c r="C14" s="7">
        <f t="shared" si="1"/>
        <v>0.319517234323311</v>
      </c>
      <c r="D14" s="8">
        <v>0.225845567788596</v>
      </c>
      <c r="E14" s="8">
        <v>0.0936716665347149</v>
      </c>
      <c r="F14" s="9">
        <v>0.680482765676689</v>
      </c>
      <c r="G14" s="2">
        <v>373443</v>
      </c>
      <c r="H14" s="4">
        <f t="shared" si="2"/>
        <v>60592.0177566786</v>
      </c>
      <c r="I14" s="2">
        <v>44478.7183957898</v>
      </c>
      <c r="J14" s="2">
        <v>16113.2993608888</v>
      </c>
      <c r="K14" s="2">
        <v>312850.810593583</v>
      </c>
      <c r="L14" s="10">
        <f t="shared" si="0"/>
        <v>9923.24674637907</v>
      </c>
      <c r="M14" s="10">
        <f t="shared" si="6"/>
        <v>821.940777328295</v>
      </c>
      <c r="N14" s="4">
        <f t="shared" si="3"/>
        <v>7014.08579881043</v>
      </c>
      <c r="O14" s="4">
        <f t="shared" si="7"/>
        <v>758.310031084213</v>
      </c>
      <c r="P14" s="4">
        <f t="shared" si="4"/>
        <v>2909.16094756864</v>
      </c>
      <c r="Q14" s="4">
        <f t="shared" si="8"/>
        <v>63.6307462440818</v>
      </c>
      <c r="R14" s="4">
        <f t="shared" si="5"/>
        <v>21133.7532536209</v>
      </c>
      <c r="S14" s="4">
        <f t="shared" si="9"/>
        <v>21507.0249190999</v>
      </c>
      <c r="T14" s="3">
        <v>11440</v>
      </c>
      <c r="U14" s="3">
        <v>11440</v>
      </c>
      <c r="V14" s="2">
        <v>33.79411</v>
      </c>
      <c r="W14" s="3">
        <v>45.51457</v>
      </c>
      <c r="X14" s="3">
        <v>31.55315</v>
      </c>
      <c r="Y14" s="3">
        <v>13.47114</v>
      </c>
      <c r="Z14" s="3">
        <v>32.17899</v>
      </c>
      <c r="AA14" s="3">
        <v>149.98153</v>
      </c>
      <c r="AB14" s="15">
        <f t="shared" si="10"/>
        <v>47529777701.6557</v>
      </c>
      <c r="AC14" s="15">
        <f t="shared" si="11"/>
        <v>28653171322.1094</v>
      </c>
      <c r="AD14" s="15">
        <f t="shared" si="12"/>
        <v>651215027682.455</v>
      </c>
      <c r="AE14" s="11">
        <f t="shared" si="13"/>
        <v>7.2739797670622</v>
      </c>
    </row>
    <row r="15" spans="1:31">
      <c r="A15" s="2">
        <v>2031</v>
      </c>
      <c r="B15" s="2">
        <v>31116</v>
      </c>
      <c r="C15" s="7">
        <f t="shared" si="1"/>
        <v>0.317245734230146</v>
      </c>
      <c r="D15" s="8">
        <v>0.230191643657115</v>
      </c>
      <c r="E15" s="8">
        <v>0.0870540905730316</v>
      </c>
      <c r="F15" s="9">
        <v>0.682754265769854</v>
      </c>
      <c r="G15" s="2">
        <v>381268</v>
      </c>
      <c r="H15" s="4">
        <f t="shared" si="2"/>
        <v>69389.8780899168</v>
      </c>
      <c r="I15" s="2">
        <v>50698.9260064622</v>
      </c>
      <c r="J15" s="2">
        <v>18690.9520834546</v>
      </c>
      <c r="K15" s="2">
        <v>311878.533692855</v>
      </c>
      <c r="L15" s="10">
        <f t="shared" si="0"/>
        <v>9871.41826630524</v>
      </c>
      <c r="M15" s="10">
        <f t="shared" si="6"/>
        <v>1073.55793306702</v>
      </c>
      <c r="N15" s="4">
        <f t="shared" si="3"/>
        <v>7162.64318403479</v>
      </c>
      <c r="O15" s="4">
        <f t="shared" si="7"/>
        <v>942.435573362338</v>
      </c>
      <c r="P15" s="4">
        <f t="shared" si="4"/>
        <v>2708.77508227045</v>
      </c>
      <c r="Q15" s="4">
        <f t="shared" si="8"/>
        <v>131.122359704681</v>
      </c>
      <c r="R15" s="4">
        <f t="shared" si="5"/>
        <v>21244.5817336948</v>
      </c>
      <c r="S15" s="4">
        <f t="shared" si="9"/>
        <v>22216.858634423</v>
      </c>
      <c r="T15" s="3">
        <v>11620</v>
      </c>
      <c r="U15" s="3">
        <v>11620</v>
      </c>
      <c r="V15" s="2">
        <v>32.5374</v>
      </c>
      <c r="W15" s="3">
        <v>44.3772</v>
      </c>
      <c r="X15" s="3">
        <v>30.67267</v>
      </c>
      <c r="Y15" s="3">
        <v>12.42924</v>
      </c>
      <c r="Z15" s="3">
        <v>31.30082</v>
      </c>
      <c r="AA15" s="3">
        <v>148.55958</v>
      </c>
      <c r="AB15" s="15">
        <f t="shared" si="10"/>
        <v>47943607722.0717</v>
      </c>
      <c r="AC15" s="15">
        <f t="shared" si="11"/>
        <v>27750418392.4893</v>
      </c>
      <c r="AD15" s="15">
        <f t="shared" si="12"/>
        <v>651962929215.699</v>
      </c>
      <c r="AE15" s="11">
        <f t="shared" si="13"/>
        <v>7.2765695533026</v>
      </c>
    </row>
    <row r="16" spans="1:31">
      <c r="A16" s="2">
        <v>2032</v>
      </c>
      <c r="B16" s="2">
        <v>31274</v>
      </c>
      <c r="C16" s="7">
        <f t="shared" si="1"/>
        <v>0.316312239196366</v>
      </c>
      <c r="D16" s="8">
        <v>0.239768601348979</v>
      </c>
      <c r="E16" s="8">
        <v>0.0765436378473863</v>
      </c>
      <c r="F16" s="9">
        <v>0.683687760803634</v>
      </c>
      <c r="G16" s="2">
        <v>388489</v>
      </c>
      <c r="H16" s="4">
        <f t="shared" si="2"/>
        <v>77903.8683247155</v>
      </c>
      <c r="I16" s="2">
        <v>57040.6383857745</v>
      </c>
      <c r="J16" s="2">
        <v>20863.229938941</v>
      </c>
      <c r="K16" s="2">
        <v>310585.41303932</v>
      </c>
      <c r="L16" s="10">
        <f t="shared" si="0"/>
        <v>9892.34896862714</v>
      </c>
      <c r="M16" s="10">
        <f t="shared" si="6"/>
        <v>1378.35873382838</v>
      </c>
      <c r="N16" s="4">
        <f t="shared" si="3"/>
        <v>7498.52323858798</v>
      </c>
      <c r="O16" s="4">
        <f t="shared" si="7"/>
        <v>1156.81085927568</v>
      </c>
      <c r="P16" s="4">
        <f t="shared" si="4"/>
        <v>2393.82573003916</v>
      </c>
      <c r="Q16" s="4">
        <f t="shared" si="8"/>
        <v>221.547874552703</v>
      </c>
      <c r="R16" s="4">
        <f t="shared" si="5"/>
        <v>21381.6510313729</v>
      </c>
      <c r="S16" s="4">
        <f t="shared" si="9"/>
        <v>22674.7716849082</v>
      </c>
      <c r="T16" s="3">
        <v>11780</v>
      </c>
      <c r="U16" s="3">
        <v>11780</v>
      </c>
      <c r="V16" s="2">
        <v>31.37216</v>
      </c>
      <c r="W16" s="3">
        <v>43.27938</v>
      </c>
      <c r="X16" s="3">
        <v>29.84067</v>
      </c>
      <c r="Y16" s="3">
        <v>11.47623</v>
      </c>
      <c r="Z16" s="3">
        <v>30.49787</v>
      </c>
      <c r="AA16" s="3">
        <v>147.27796</v>
      </c>
      <c r="AB16" s="15">
        <f t="shared" si="10"/>
        <v>49279091969.9326</v>
      </c>
      <c r="AC16" s="15">
        <f t="shared" si="11"/>
        <v>25802128345.1604</v>
      </c>
      <c r="AD16" s="15">
        <f t="shared" si="12"/>
        <v>651587468961.493</v>
      </c>
      <c r="AE16" s="11">
        <f t="shared" si="13"/>
        <v>7.26668689276586</v>
      </c>
    </row>
    <row r="17" spans="1:31">
      <c r="A17" s="2">
        <v>2033</v>
      </c>
      <c r="B17" s="2">
        <v>31474</v>
      </c>
      <c r="C17" s="7">
        <f t="shared" si="1"/>
        <v>0.316550164311839</v>
      </c>
      <c r="D17" s="8">
        <v>0.242591323810351</v>
      </c>
      <c r="E17" s="8">
        <v>0.0739588405014883</v>
      </c>
      <c r="F17" s="9">
        <v>0.683449835688161</v>
      </c>
      <c r="G17" s="2">
        <v>395263</v>
      </c>
      <c r="H17" s="4">
        <f t="shared" si="2"/>
        <v>86123.8370774815</v>
      </c>
      <c r="I17" s="2">
        <v>63251.0217180025</v>
      </c>
      <c r="J17" s="2">
        <v>22872.815359479</v>
      </c>
      <c r="K17" s="2">
        <v>309139.712660884</v>
      </c>
      <c r="L17" s="10">
        <f t="shared" si="0"/>
        <v>9963.09987155082</v>
      </c>
      <c r="M17" s="10">
        <f t="shared" si="6"/>
        <v>1743.13111878482</v>
      </c>
      <c r="N17" s="4">
        <f t="shared" si="3"/>
        <v>7635.31932560698</v>
      </c>
      <c r="O17" s="4">
        <f t="shared" si="7"/>
        <v>1424.93599337899</v>
      </c>
      <c r="P17" s="4">
        <f t="shared" si="4"/>
        <v>2327.78054594384</v>
      </c>
      <c r="Q17" s="4">
        <f t="shared" si="8"/>
        <v>318.195125405826</v>
      </c>
      <c r="R17" s="4">
        <f t="shared" si="5"/>
        <v>21510.9001284492</v>
      </c>
      <c r="S17" s="4">
        <f t="shared" si="9"/>
        <v>22956.6005068843</v>
      </c>
      <c r="T17" s="3">
        <v>11940</v>
      </c>
      <c r="U17" s="3">
        <v>11940</v>
      </c>
      <c r="V17" s="2">
        <v>30.29235</v>
      </c>
      <c r="W17" s="3">
        <v>42.2755</v>
      </c>
      <c r="X17" s="3">
        <v>28.97158</v>
      </c>
      <c r="Y17" s="3">
        <v>10.71732</v>
      </c>
      <c r="Z17" s="3">
        <v>29.8259</v>
      </c>
      <c r="AA17" s="3">
        <v>146.1221</v>
      </c>
      <c r="AB17" s="15">
        <f t="shared" si="10"/>
        <v>49518259572.854</v>
      </c>
      <c r="AC17" s="15">
        <f t="shared" si="11"/>
        <v>25770383792.1313</v>
      </c>
      <c r="AD17" s="15">
        <f t="shared" si="12"/>
        <v>650971372670.674</v>
      </c>
      <c r="AE17" s="11">
        <f t="shared" si="13"/>
        <v>7.26260016035659</v>
      </c>
    </row>
    <row r="18" spans="1:31">
      <c r="A18" s="2">
        <v>2034</v>
      </c>
      <c r="B18" s="2">
        <v>31657</v>
      </c>
      <c r="C18" s="7">
        <f t="shared" si="1"/>
        <v>0.317654298463266</v>
      </c>
      <c r="D18" s="8">
        <v>0.250406521756049</v>
      </c>
      <c r="E18" s="8">
        <v>0.0672477767072169</v>
      </c>
      <c r="F18" s="9">
        <v>0.682345701536734</v>
      </c>
      <c r="G18" s="2">
        <v>401608</v>
      </c>
      <c r="H18" s="4">
        <f t="shared" si="2"/>
        <v>93985.8564678595</v>
      </c>
      <c r="I18" s="2">
        <v>69423.0106726824</v>
      </c>
      <c r="J18" s="2">
        <v>24562.8457951771</v>
      </c>
      <c r="K18" s="2">
        <v>307622.509156122</v>
      </c>
      <c r="L18" s="10">
        <f t="shared" si="0"/>
        <v>10055.9821264516</v>
      </c>
      <c r="M18" s="10">
        <f t="shared" si="6"/>
        <v>2193.96273607369</v>
      </c>
      <c r="N18" s="4">
        <f t="shared" si="3"/>
        <v>7927.11925923125</v>
      </c>
      <c r="O18" s="4">
        <f t="shared" si="7"/>
        <v>1755.13030455135</v>
      </c>
      <c r="P18" s="4">
        <f t="shared" si="4"/>
        <v>2128.86286722036</v>
      </c>
      <c r="Q18" s="4">
        <f t="shared" si="8"/>
        <v>438.832431522347</v>
      </c>
      <c r="R18" s="4">
        <f t="shared" si="5"/>
        <v>21601.0178735484</v>
      </c>
      <c r="S18" s="4">
        <f t="shared" si="9"/>
        <v>23118.2213783107</v>
      </c>
      <c r="T18" s="3">
        <v>12100</v>
      </c>
      <c r="U18" s="3">
        <v>12100</v>
      </c>
      <c r="V18" s="2">
        <v>29.23766</v>
      </c>
      <c r="W18" s="3">
        <v>41.30041</v>
      </c>
      <c r="X18" s="3">
        <v>28.15421</v>
      </c>
      <c r="Y18" s="3">
        <v>10.06829</v>
      </c>
      <c r="Z18" s="3">
        <v>29.26276</v>
      </c>
      <c r="AA18" s="3">
        <v>145.14329</v>
      </c>
      <c r="AB18" s="15">
        <f t="shared" si="10"/>
        <v>50523879958.9957</v>
      </c>
      <c r="AC18" s="15">
        <f t="shared" si="11"/>
        <v>24655205632.0682</v>
      </c>
      <c r="AD18" s="15">
        <f t="shared" si="12"/>
        <v>650638017196.146</v>
      </c>
      <c r="AE18" s="11">
        <f t="shared" si="13"/>
        <v>7.2581710278721</v>
      </c>
    </row>
    <row r="19" spans="1:31">
      <c r="A19" s="2">
        <v>2035</v>
      </c>
      <c r="B19" s="2">
        <v>31591</v>
      </c>
      <c r="C19" s="7">
        <f t="shared" si="1"/>
        <v>0.318632223552804</v>
      </c>
      <c r="D19" s="8">
        <v>0.257533354958395</v>
      </c>
      <c r="E19" s="8">
        <v>0.0610988685944089</v>
      </c>
      <c r="F19" s="9">
        <v>0.681367776447196</v>
      </c>
      <c r="G19" s="2">
        <v>407260</v>
      </c>
      <c r="H19" s="4">
        <f t="shared" si="2"/>
        <v>101307.497986155</v>
      </c>
      <c r="I19" s="2">
        <v>75393.969747526</v>
      </c>
      <c r="J19" s="2">
        <v>25913.5282386288</v>
      </c>
      <c r="K19" s="2">
        <v>305953.427966065</v>
      </c>
      <c r="L19" s="10">
        <f t="shared" si="0"/>
        <v>10065.9105742566</v>
      </c>
      <c r="M19" s="10">
        <f t="shared" si="6"/>
        <v>2744.26905596128</v>
      </c>
      <c r="N19" s="4">
        <f t="shared" si="3"/>
        <v>8135.73621649064</v>
      </c>
      <c r="O19" s="4">
        <f t="shared" si="7"/>
        <v>2164.77714164702</v>
      </c>
      <c r="P19" s="4">
        <f t="shared" si="4"/>
        <v>1930.17435776597</v>
      </c>
      <c r="Q19" s="4">
        <f t="shared" si="8"/>
        <v>579.491914314243</v>
      </c>
      <c r="R19" s="4">
        <f t="shared" si="5"/>
        <v>21525.0894257434</v>
      </c>
      <c r="S19" s="4">
        <f t="shared" si="9"/>
        <v>23194.1706158004</v>
      </c>
      <c r="T19" s="3">
        <v>12250</v>
      </c>
      <c r="U19" s="3">
        <v>12250</v>
      </c>
      <c r="V19" s="2">
        <v>28.20677</v>
      </c>
      <c r="W19" s="3">
        <v>40.40616</v>
      </c>
      <c r="X19" s="3">
        <v>27.34673</v>
      </c>
      <c r="Y19" s="3">
        <v>9.46541</v>
      </c>
      <c r="Z19" s="3">
        <v>28.73414</v>
      </c>
      <c r="AA19" s="3">
        <v>144.20036</v>
      </c>
      <c r="AB19" s="15">
        <f t="shared" si="10"/>
        <v>50909498625.0091</v>
      </c>
      <c r="AC19" s="15">
        <f t="shared" si="11"/>
        <v>23452220225.9395</v>
      </c>
      <c r="AD19" s="15">
        <f t="shared" si="12"/>
        <v>648615530693.39</v>
      </c>
      <c r="AE19" s="11">
        <f t="shared" si="13"/>
        <v>7.22977249544339</v>
      </c>
    </row>
    <row r="20" spans="1:31">
      <c r="A20" s="2">
        <v>2036</v>
      </c>
      <c r="B20" s="2">
        <v>31484</v>
      </c>
      <c r="C20" s="7">
        <f t="shared" si="1"/>
        <v>0.317851862165086</v>
      </c>
      <c r="D20" s="8">
        <v>0.25945298034334</v>
      </c>
      <c r="E20" s="8">
        <v>0.0583988818217463</v>
      </c>
      <c r="F20" s="9">
        <v>0.682148137834914</v>
      </c>
      <c r="G20" s="2">
        <v>412157</v>
      </c>
      <c r="H20" s="4">
        <f t="shared" si="2"/>
        <v>107948.745657663</v>
      </c>
      <c r="I20" s="2">
        <v>80932.8211950315</v>
      </c>
      <c r="J20" s="2">
        <v>27015.9244626316</v>
      </c>
      <c r="K20" s="2">
        <v>304209.300002787</v>
      </c>
      <c r="L20" s="10">
        <f t="shared" si="0"/>
        <v>10007.2480284056</v>
      </c>
      <c r="M20" s="10">
        <f t="shared" si="6"/>
        <v>3366.00035689723</v>
      </c>
      <c r="N20" s="4">
        <f t="shared" si="3"/>
        <v>8168.61763312971</v>
      </c>
      <c r="O20" s="4">
        <f t="shared" si="7"/>
        <v>2629.7661856242</v>
      </c>
      <c r="P20" s="4">
        <f t="shared" si="4"/>
        <v>1838.63039527586</v>
      </c>
      <c r="Q20" s="4">
        <f t="shared" si="8"/>
        <v>736.23417127303</v>
      </c>
      <c r="R20" s="4">
        <f t="shared" si="5"/>
        <v>21476.7519715944</v>
      </c>
      <c r="S20" s="4">
        <f t="shared" si="9"/>
        <v>23220.8799348724</v>
      </c>
      <c r="T20" s="3">
        <v>12400</v>
      </c>
      <c r="U20" s="3">
        <v>12400</v>
      </c>
      <c r="V20" s="2">
        <v>27.25089</v>
      </c>
      <c r="W20" s="3">
        <v>39.53201</v>
      </c>
      <c r="X20" s="3">
        <v>26.50942</v>
      </c>
      <c r="Y20" s="3">
        <v>8.95054</v>
      </c>
      <c r="Z20" s="3">
        <v>28.23528</v>
      </c>
      <c r="AA20" s="3">
        <v>143.35048</v>
      </c>
      <c r="AB20" s="15">
        <f t="shared" si="10"/>
        <v>50386457128.8762</v>
      </c>
      <c r="AC20" s="15">
        <f t="shared" si="11"/>
        <v>22978111638.6565</v>
      </c>
      <c r="AD20" s="15">
        <f t="shared" si="12"/>
        <v>646642550095.361</v>
      </c>
      <c r="AE20" s="11">
        <f t="shared" si="13"/>
        <v>7.20007118862894</v>
      </c>
    </row>
    <row r="21" spans="1:31">
      <c r="A21" s="2">
        <v>2037</v>
      </c>
      <c r="B21" s="2">
        <v>31388</v>
      </c>
      <c r="C21" s="7">
        <f t="shared" si="1"/>
        <v>0.317843532193353</v>
      </c>
      <c r="D21" s="8">
        <v>0.262208314768073</v>
      </c>
      <c r="E21" s="8">
        <v>0.0556352174252805</v>
      </c>
      <c r="F21" s="9">
        <v>0.682156467806647</v>
      </c>
      <c r="G21" s="2">
        <v>416303</v>
      </c>
      <c r="H21" s="4">
        <f t="shared" si="2"/>
        <v>113857.64656633</v>
      </c>
      <c r="I21" s="2">
        <v>86011.3440448509</v>
      </c>
      <c r="J21" s="2">
        <v>27846.3025214793</v>
      </c>
      <c r="K21" s="2">
        <v>302445.086558066</v>
      </c>
      <c r="L21" s="10">
        <f t="shared" si="0"/>
        <v>9976.47278848498</v>
      </c>
      <c r="M21" s="10">
        <f t="shared" si="6"/>
        <v>4067.57187981789</v>
      </c>
      <c r="N21" s="4">
        <f t="shared" si="3"/>
        <v>8230.19458394027</v>
      </c>
      <c r="O21" s="4">
        <f t="shared" si="7"/>
        <v>3151.67173412092</v>
      </c>
      <c r="P21" s="4">
        <f t="shared" si="4"/>
        <v>1746.2782045447</v>
      </c>
      <c r="Q21" s="4">
        <f t="shared" si="8"/>
        <v>915.900145696971</v>
      </c>
      <c r="R21" s="4">
        <f t="shared" si="5"/>
        <v>21411.527211515</v>
      </c>
      <c r="S21" s="4">
        <f t="shared" si="9"/>
        <v>23175.7406562357</v>
      </c>
      <c r="T21" s="3">
        <v>12540</v>
      </c>
      <c r="U21" s="3">
        <v>12540</v>
      </c>
      <c r="V21" s="2">
        <v>26.36563</v>
      </c>
      <c r="W21" s="3">
        <v>38.7284</v>
      </c>
      <c r="X21" s="3">
        <v>25.7279</v>
      </c>
      <c r="Y21" s="3">
        <v>8.46924</v>
      </c>
      <c r="Z21" s="3">
        <v>27.76145</v>
      </c>
      <c r="AA21" s="3">
        <v>142.52768</v>
      </c>
      <c r="AB21" s="15">
        <f t="shared" si="10"/>
        <v>49951393261.0171</v>
      </c>
      <c r="AC21" s="15">
        <f t="shared" si="11"/>
        <v>22415402328.2487</v>
      </c>
      <c r="AD21" s="15">
        <f t="shared" si="12"/>
        <v>644178558272.865</v>
      </c>
      <c r="AE21" s="11">
        <f t="shared" si="13"/>
        <v>7.16545353862131</v>
      </c>
    </row>
    <row r="22" spans="1:31">
      <c r="A22" s="2">
        <v>2038</v>
      </c>
      <c r="B22" s="2">
        <v>31354</v>
      </c>
      <c r="C22" s="7">
        <f t="shared" si="1"/>
        <v>0.326731731264237</v>
      </c>
      <c r="D22" s="8">
        <v>0.267911710400075</v>
      </c>
      <c r="E22" s="8">
        <v>0.0588200208641614</v>
      </c>
      <c r="F22" s="9">
        <v>0.673268268735763</v>
      </c>
      <c r="G22" s="2">
        <v>419771</v>
      </c>
      <c r="H22" s="4">
        <f t="shared" si="2"/>
        <v>119281.408698359</v>
      </c>
      <c r="I22" s="2">
        <v>90699.0433046017</v>
      </c>
      <c r="J22" s="2">
        <v>28582.3653937573</v>
      </c>
      <c r="K22" s="2">
        <v>300489.858800894</v>
      </c>
      <c r="L22" s="10">
        <f t="shared" si="0"/>
        <v>10244.3467020589</v>
      </c>
      <c r="M22" s="10">
        <f t="shared" si="6"/>
        <v>4820.58457003007</v>
      </c>
      <c r="N22" s="4">
        <f t="shared" si="3"/>
        <v>8400.10376788396</v>
      </c>
      <c r="O22" s="4">
        <f t="shared" si="7"/>
        <v>3712.40450813313</v>
      </c>
      <c r="P22" s="4">
        <f t="shared" si="4"/>
        <v>1844.24293417492</v>
      </c>
      <c r="Q22" s="4">
        <f t="shared" si="8"/>
        <v>1108.18006189694</v>
      </c>
      <c r="R22" s="4">
        <f t="shared" si="5"/>
        <v>21109.6532979411</v>
      </c>
      <c r="S22" s="4">
        <f t="shared" si="9"/>
        <v>23064.8810551133</v>
      </c>
      <c r="T22" s="3">
        <v>12700</v>
      </c>
      <c r="U22" s="3">
        <v>12700</v>
      </c>
      <c r="V22" s="2">
        <v>25.44577</v>
      </c>
      <c r="W22" s="3">
        <v>37.88569</v>
      </c>
      <c r="X22" s="3">
        <v>25.0017</v>
      </c>
      <c r="Y22" s="3">
        <v>8.01904</v>
      </c>
      <c r="Z22" s="3">
        <v>27.40716</v>
      </c>
      <c r="AA22" s="3">
        <v>141.78611</v>
      </c>
      <c r="AB22" s="15">
        <f t="shared" si="10"/>
        <v>49955778714.4424</v>
      </c>
      <c r="AC22" s="15">
        <f t="shared" si="11"/>
        <v>23259004826.2939</v>
      </c>
      <c r="AD22" s="15">
        <f t="shared" si="12"/>
        <v>641628720000.281</v>
      </c>
      <c r="AE22" s="11">
        <f t="shared" si="13"/>
        <v>7.14843503541017</v>
      </c>
    </row>
    <row r="23" spans="1:31">
      <c r="A23" s="2">
        <v>2039</v>
      </c>
      <c r="B23" s="2">
        <v>31390</v>
      </c>
      <c r="C23" s="7">
        <f t="shared" si="1"/>
        <v>0.356712645503289</v>
      </c>
      <c r="D23" s="8">
        <v>0.296357915905703</v>
      </c>
      <c r="E23" s="8">
        <v>0.0603547295975854</v>
      </c>
      <c r="F23" s="9">
        <v>0.643287354496711</v>
      </c>
      <c r="G23" s="2">
        <v>422668</v>
      </c>
      <c r="H23" s="4">
        <f t="shared" si="2"/>
        <v>124839.995464472</v>
      </c>
      <c r="I23" s="2">
        <v>95681.1336603316</v>
      </c>
      <c r="J23" s="2">
        <v>29158.8618041403</v>
      </c>
      <c r="K23" s="2">
        <v>297827.704529606</v>
      </c>
      <c r="L23" s="10">
        <f t="shared" si="0"/>
        <v>11197.2099423482</v>
      </c>
      <c r="M23" s="10">
        <f t="shared" si="6"/>
        <v>5638.62317623541</v>
      </c>
      <c r="N23" s="4">
        <f t="shared" si="3"/>
        <v>9302.67498028003</v>
      </c>
      <c r="O23" s="4">
        <f t="shared" si="7"/>
        <v>4320.58462455015</v>
      </c>
      <c r="P23" s="4">
        <f t="shared" si="4"/>
        <v>1894.53496206821</v>
      </c>
      <c r="Q23" s="4">
        <f t="shared" si="8"/>
        <v>1318.03855168526</v>
      </c>
      <c r="R23" s="4">
        <f t="shared" si="5"/>
        <v>20192.7900576518</v>
      </c>
      <c r="S23" s="4">
        <f t="shared" si="9"/>
        <v>22854.9443289395</v>
      </c>
      <c r="T23" s="3">
        <v>12840</v>
      </c>
      <c r="U23" s="3">
        <v>12840</v>
      </c>
      <c r="V23" s="2">
        <v>24.59252</v>
      </c>
      <c r="W23" s="3">
        <v>37.10695</v>
      </c>
      <c r="X23" s="3">
        <v>24.25185</v>
      </c>
      <c r="Y23" s="3">
        <v>7.63464</v>
      </c>
      <c r="Z23" s="3">
        <v>27.01441</v>
      </c>
      <c r="AA23" s="3">
        <v>141.06451</v>
      </c>
      <c r="AB23" s="15">
        <f t="shared" si="10"/>
        <v>53441804641.5671</v>
      </c>
      <c r="AC23" s="15">
        <f t="shared" si="11"/>
        <v>23654049068.8934</v>
      </c>
      <c r="AD23" s="15">
        <f t="shared" si="12"/>
        <v>633764513074.786</v>
      </c>
      <c r="AE23" s="11">
        <f t="shared" si="13"/>
        <v>7.10860366785246</v>
      </c>
    </row>
    <row r="24" spans="1:31">
      <c r="A24" s="2">
        <v>2040</v>
      </c>
      <c r="B24" s="2">
        <v>31159</v>
      </c>
      <c r="C24" s="7">
        <f t="shared" si="1"/>
        <v>0.385768622883877</v>
      </c>
      <c r="D24" s="8">
        <v>0.323993414060787</v>
      </c>
      <c r="E24" s="8">
        <v>0.0617752088230906</v>
      </c>
      <c r="F24" s="9">
        <v>0.614231377116123</v>
      </c>
      <c r="G24" s="2">
        <v>424773</v>
      </c>
      <c r="H24" s="4">
        <f t="shared" si="2"/>
        <v>130410.466471601</v>
      </c>
      <c r="I24" s="2">
        <v>100864.175661551</v>
      </c>
      <c r="J24" s="2">
        <v>29546.29081005</v>
      </c>
      <c r="K24" s="2">
        <v>294361.646253634</v>
      </c>
      <c r="L24" s="10">
        <f t="shared" si="0"/>
        <v>12020.1645204387</v>
      </c>
      <c r="M24" s="10">
        <f t="shared" si="6"/>
        <v>6449.69351330967</v>
      </c>
      <c r="N24" s="4">
        <f t="shared" si="3"/>
        <v>10095.3107887201</v>
      </c>
      <c r="O24" s="4">
        <f t="shared" si="7"/>
        <v>4912.2687875008</v>
      </c>
      <c r="P24" s="4">
        <f t="shared" si="4"/>
        <v>1924.85373171868</v>
      </c>
      <c r="Q24" s="4">
        <f t="shared" si="8"/>
        <v>1537.42472580889</v>
      </c>
      <c r="R24" s="4">
        <f t="shared" si="5"/>
        <v>19138.8354795613</v>
      </c>
      <c r="S24" s="4">
        <f t="shared" si="9"/>
        <v>22604.8937555335</v>
      </c>
      <c r="T24" s="3">
        <v>12990</v>
      </c>
      <c r="U24" s="3">
        <v>12990</v>
      </c>
      <c r="V24" s="2">
        <v>23.75336</v>
      </c>
      <c r="W24" s="3">
        <v>36.33692</v>
      </c>
      <c r="X24" s="3">
        <v>23.52094</v>
      </c>
      <c r="Y24" s="3">
        <v>7.27203</v>
      </c>
      <c r="Z24" s="3">
        <v>26.63141</v>
      </c>
      <c r="AA24" s="3">
        <v>140.36127</v>
      </c>
      <c r="AB24" s="15">
        <f t="shared" si="10"/>
        <v>56252553079.4228</v>
      </c>
      <c r="AC24" s="15">
        <f t="shared" si="11"/>
        <v>23849746848.714</v>
      </c>
      <c r="AD24" s="15">
        <f t="shared" si="12"/>
        <v>624421837533.642</v>
      </c>
      <c r="AE24" s="11">
        <f t="shared" si="13"/>
        <v>7.04524137461779</v>
      </c>
    </row>
    <row r="25" spans="1:31">
      <c r="A25" s="2">
        <v>2041</v>
      </c>
      <c r="B25" s="2">
        <v>31288</v>
      </c>
      <c r="F25" s="9"/>
      <c r="M25" s="17"/>
      <c r="T25" s="3">
        <v>13140</v>
      </c>
      <c r="U25" s="3">
        <v>13140</v>
      </c>
      <c r="V25" s="2"/>
    </row>
    <row r="26" spans="1:31">
      <c r="A26" s="2">
        <v>2042</v>
      </c>
      <c r="B26" s="2">
        <v>31331</v>
      </c>
      <c r="F26" s="9"/>
      <c r="T26" s="3">
        <v>13270</v>
      </c>
      <c r="U26" s="3">
        <v>13270</v>
      </c>
      <c r="V26" s="2"/>
    </row>
    <row r="27" spans="1:31">
      <c r="A27" s="2">
        <v>2043</v>
      </c>
      <c r="B27" s="2">
        <v>31300</v>
      </c>
      <c r="F27" s="9"/>
      <c r="T27" s="3">
        <v>13390</v>
      </c>
      <c r="U27" s="3">
        <v>13390</v>
      </c>
      <c r="V27" s="2"/>
    </row>
    <row r="28" spans="1:31">
      <c r="A28" s="2">
        <v>2044</v>
      </c>
      <c r="B28" s="2">
        <v>31233</v>
      </c>
      <c r="F28" s="9"/>
      <c r="T28" s="3">
        <v>13510</v>
      </c>
      <c r="U28" s="3">
        <v>13510</v>
      </c>
      <c r="V28" s="2"/>
    </row>
    <row r="29" spans="1:31">
      <c r="A29" s="2">
        <v>2045</v>
      </c>
      <c r="B29" s="2">
        <v>31117</v>
      </c>
      <c r="F29" s="9"/>
      <c r="O29" s="17"/>
      <c r="T29" s="3">
        <v>13620</v>
      </c>
      <c r="U29" s="3">
        <v>13620</v>
      </c>
      <c r="V29" s="2"/>
    </row>
    <row r="30" spans="1:31">
      <c r="A30" s="2">
        <v>2046</v>
      </c>
      <c r="B30" s="2">
        <v>30947</v>
      </c>
      <c r="F30" s="9"/>
      <c r="T30" s="3">
        <v>13720</v>
      </c>
      <c r="U30" s="3">
        <v>13720</v>
      </c>
      <c r="V30" s="2"/>
      <c r="AE30" s="3">
        <f>SUM(AE5:AE24)</f>
        <v>144.442556408658</v>
      </c>
    </row>
    <row r="31" spans="1:31">
      <c r="A31" s="2">
        <v>2047</v>
      </c>
      <c r="B31" s="2">
        <v>30717</v>
      </c>
      <c r="F31" s="9"/>
      <c r="T31" s="3">
        <v>13800</v>
      </c>
      <c r="U31" s="3">
        <v>13800</v>
      </c>
      <c r="V31" s="2"/>
    </row>
    <row r="32" spans="1:31">
      <c r="A32" s="2">
        <v>2048</v>
      </c>
      <c r="B32" s="2">
        <v>30435</v>
      </c>
      <c r="F32" s="9"/>
      <c r="T32" s="3">
        <v>13880</v>
      </c>
      <c r="U32" s="3">
        <v>13880</v>
      </c>
      <c r="V32" s="2"/>
    </row>
    <row r="33" spans="1:22">
      <c r="A33" s="2">
        <v>2049</v>
      </c>
      <c r="B33" s="2">
        <v>30101</v>
      </c>
      <c r="F33" s="9"/>
      <c r="T33" s="3">
        <v>13950</v>
      </c>
      <c r="U33" s="3">
        <v>13950</v>
      </c>
      <c r="V33" s="2"/>
    </row>
    <row r="34" spans="1:22">
      <c r="A34" s="2">
        <v>2050</v>
      </c>
      <c r="B34" s="2">
        <v>29716</v>
      </c>
      <c r="F34" s="9"/>
      <c r="T34" s="3">
        <v>14020</v>
      </c>
      <c r="U34" s="3">
        <v>14020</v>
      </c>
    </row>
    <row r="35" spans="1:22">
      <c r="I35" s="18"/>
    </row>
    <row r="36" spans="1:22">
      <c r="G36" s="19"/>
      <c r="I36" s="18"/>
      <c r="L36" s="19"/>
      <c r="M36" s="19"/>
      <c r="S36" s="19"/>
    </row>
    <row r="37" spans="1:22">
      <c r="I37" s="18"/>
      <c r="L37" s="17"/>
      <c r="M37" s="17"/>
    </row>
    <row r="38" spans="1:22">
      <c r="I38" s="18"/>
      <c r="L38" s="17"/>
      <c r="M38" s="17"/>
    </row>
    <row r="39" spans="1:22">
      <c r="I39" s="18"/>
      <c r="L39" s="17"/>
      <c r="M39" s="17"/>
    </row>
    <row r="40" spans="1:22">
      <c r="B40" s="3"/>
      <c r="I40" s="18"/>
      <c r="L40" s="17"/>
      <c r="M40" s="17"/>
    </row>
    <row r="41" spans="1:22">
      <c r="I41" s="18"/>
      <c r="L41" s="17"/>
      <c r="M41" s="17"/>
    </row>
    <row r="42" spans="1:22">
      <c r="I42" s="18"/>
      <c r="L42" s="17"/>
      <c r="M42" s="17"/>
    </row>
    <row r="43" spans="1:22">
      <c r="I43" s="18"/>
      <c r="L43" s="17"/>
      <c r="M43" s="17"/>
    </row>
    <row r="44" spans="1:22">
      <c r="I44" s="18"/>
      <c r="L44" s="17"/>
      <c r="M44" s="17"/>
    </row>
    <row r="45" spans="1:22">
      <c r="I45" s="18"/>
      <c r="L45" s="17"/>
      <c r="M45" s="17"/>
    </row>
    <row r="46" spans="1:22">
      <c r="I46" s="18"/>
      <c r="L46" s="17"/>
      <c r="M46" s="17"/>
    </row>
    <row r="47" spans="1:22">
      <c r="I47" s="18"/>
      <c r="L47" s="17"/>
      <c r="M47" s="17"/>
    </row>
    <row r="48" spans="1:22">
      <c r="I48" s="18"/>
      <c r="L48" s="17"/>
      <c r="M48" s="17"/>
    </row>
    <row r="49" spans="9:13">
      <c r="I49" s="18"/>
      <c r="L49" s="17"/>
      <c r="M49" s="17"/>
    </row>
    <row r="50" spans="9:13">
      <c r="I50" s="18"/>
      <c r="L50" s="17"/>
      <c r="M50" s="17"/>
    </row>
    <row r="51" spans="9:13">
      <c r="I51" s="18"/>
      <c r="L51" s="17"/>
      <c r="M51" s="17"/>
    </row>
    <row r="52" spans="9:13">
      <c r="I52" s="18"/>
      <c r="L52" s="17"/>
      <c r="M52" s="17"/>
    </row>
    <row r="53" spans="9:13">
      <c r="I53" s="18"/>
      <c r="L53" s="17"/>
      <c r="M53" s="17"/>
    </row>
    <row r="54" spans="9:13">
      <c r="I54" s="18"/>
      <c r="L54" s="17"/>
      <c r="M54" s="17"/>
    </row>
    <row r="55" spans="9:13">
      <c r="I55" s="18"/>
      <c r="L55" s="17"/>
      <c r="M55" s="17"/>
    </row>
    <row r="56" spans="9:13">
      <c r="I56" s="18"/>
      <c r="L56" s="17"/>
      <c r="M56" s="17"/>
    </row>
    <row r="57" spans="9:13">
      <c r="I57" s="18"/>
      <c r="L57" s="17"/>
      <c r="M57" s="17"/>
    </row>
    <row r="58" spans="9:13">
      <c r="I58" s="18"/>
      <c r="L58" s="17"/>
      <c r="M58" s="17"/>
    </row>
    <row r="59" spans="9:13">
      <c r="I59" s="18"/>
      <c r="M59" s="17"/>
    </row>
    <row r="60" spans="9:13">
      <c r="I60" s="18"/>
      <c r="M60" s="17"/>
    </row>
    <row r="61" spans="9:13">
      <c r="I61" s="18"/>
      <c r="M61" s="17"/>
    </row>
    <row r="62" spans="9:13">
      <c r="I62" s="18"/>
      <c r="M62" s="17"/>
    </row>
    <row r="63" spans="9:13">
      <c r="I63" s="18"/>
      <c r="M63" s="17"/>
    </row>
    <row r="64" spans="9:13">
      <c r="I64" s="18"/>
      <c r="M64" s="17"/>
    </row>
    <row r="65" spans="9:13">
      <c r="I65" s="18"/>
      <c r="M65" s="17"/>
    </row>
    <row r="66" spans="9:13">
      <c r="I66" s="18"/>
    </row>
    <row r="67" spans="9:13">
      <c r="I67" s="18"/>
    </row>
    <row r="68" spans="9:13">
      <c r="I68" s="18"/>
    </row>
    <row r="69" spans="9:13">
      <c r="I69" s="18"/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69"/>
  <sheetViews>
    <sheetView zoomScale="70" zoomScaleNormal="70" topLeftCell="AV1" workbookViewId="0">
      <selection activeCell="BF41" sqref="BF41"/>
    </sheetView>
  </sheetViews>
  <sheetFormatPr defaultColWidth="9" defaultRowHeight="14"/>
  <cols>
    <col min="1" max="1" width="9" style="2"/>
    <col min="2" max="2" width="23.1416666666667" style="2" customWidth="1"/>
    <col min="3" max="3" width="18.8583333333333" style="2" customWidth="1"/>
    <col min="4" max="4" width="17" style="2" customWidth="1"/>
    <col min="5" max="5" width="18.5" style="2" customWidth="1"/>
    <col min="6" max="6" width="16.8583333333333" style="2" customWidth="1"/>
    <col min="7" max="7" width="16" style="2" customWidth="1"/>
    <col min="8" max="10" width="18.8583333333333" style="2" customWidth="1"/>
    <col min="11" max="11" width="19.3583333333333" style="2" customWidth="1"/>
    <col min="12" max="12" width="18.7083333333333" style="2" customWidth="1"/>
    <col min="13" max="18" width="18" style="2" customWidth="1"/>
    <col min="19" max="20" width="20.7083333333333" style="2" customWidth="1"/>
    <col min="21" max="25" width="18" style="2" customWidth="1"/>
    <col min="26" max="31" width="20.7083333333333" style="2" customWidth="1"/>
    <col min="32" max="33" width="18" style="2" customWidth="1"/>
    <col min="34" max="34" width="21" style="2" customWidth="1"/>
    <col min="35" max="35" width="22.6416666666667" style="2" customWidth="1"/>
    <col min="36" max="41" width="20.7083333333333" style="2" customWidth="1"/>
    <col min="42" max="45" width="18" style="2" customWidth="1"/>
    <col min="46" max="46" width="19" style="3" customWidth="1"/>
    <col min="47" max="49" width="19.3583333333333" style="3" customWidth="1"/>
    <col min="50" max="50" width="21.3583333333333" style="3" customWidth="1"/>
    <col min="51" max="54" width="17.1416666666667" style="3" customWidth="1"/>
    <col min="55" max="55" width="13.1416666666667" style="3" customWidth="1"/>
    <col min="56" max="56" width="15.8583333333333" style="3" customWidth="1"/>
    <col min="57" max="57" width="11.5" style="3" customWidth="1"/>
    <col min="58" max="58" width="13.8583333333333" style="3" customWidth="1"/>
    <col min="59" max="64" width="9" style="3"/>
    <col min="65" max="65" width="14.7083333333333" style="3" customWidth="1"/>
    <col min="66" max="67" width="9" style="3"/>
    <col min="68" max="68" width="12.6416666666667" style="3" customWidth="1"/>
    <col min="69" max="69" width="12.2083333333333" style="3" customWidth="1"/>
    <col min="70" max="71" width="11.2083333333333" style="3" customWidth="1"/>
    <col min="72" max="72" width="12.6416666666667" style="3" customWidth="1"/>
    <col min="73" max="73" width="16" style="3" customWidth="1"/>
    <col min="74" max="74" width="13.3583333333333" style="3" customWidth="1"/>
    <col min="75" max="16384" width="9" style="3"/>
  </cols>
  <sheetData>
    <row r="1" s="5" customFormat="1" spans="1:70">
      <c r="A1" s="20" t="s">
        <v>0</v>
      </c>
      <c r="B1" s="20" t="s">
        <v>1</v>
      </c>
      <c r="C1" s="21" t="s">
        <v>8</v>
      </c>
      <c r="D1" s="20" t="s">
        <v>9</v>
      </c>
      <c r="E1" s="20" t="s">
        <v>10</v>
      </c>
      <c r="F1" s="20" t="s">
        <v>11</v>
      </c>
      <c r="G1" s="20" t="s">
        <v>2</v>
      </c>
      <c r="H1" s="21" t="s">
        <v>12</v>
      </c>
      <c r="I1" s="20" t="s">
        <v>13</v>
      </c>
      <c r="J1" s="20" t="s">
        <v>14</v>
      </c>
      <c r="K1" s="20" t="s">
        <v>15</v>
      </c>
      <c r="L1" s="5" t="s">
        <v>16</v>
      </c>
      <c r="M1" s="5" t="s">
        <v>17</v>
      </c>
      <c r="N1" s="20" t="s">
        <v>18</v>
      </c>
      <c r="O1" s="20" t="s">
        <v>19</v>
      </c>
      <c r="P1" s="21" t="s">
        <v>20</v>
      </c>
      <c r="Q1" s="21" t="s">
        <v>21</v>
      </c>
      <c r="R1" s="21" t="s">
        <v>22</v>
      </c>
      <c r="S1" s="21" t="s">
        <v>23</v>
      </c>
      <c r="T1" s="21" t="s">
        <v>24</v>
      </c>
      <c r="U1" s="21" t="s">
        <v>25</v>
      </c>
      <c r="V1" s="21" t="s">
        <v>26</v>
      </c>
      <c r="W1" s="21" t="s">
        <v>27</v>
      </c>
      <c r="X1" s="20" t="s">
        <v>28</v>
      </c>
      <c r="Y1" s="5" t="s">
        <v>29</v>
      </c>
      <c r="Z1" s="21" t="s">
        <v>30</v>
      </c>
      <c r="AA1" s="21" t="s">
        <v>31</v>
      </c>
      <c r="AB1" s="21" t="s">
        <v>32</v>
      </c>
      <c r="AC1" s="21" t="s">
        <v>33</v>
      </c>
      <c r="AD1" s="21" t="s">
        <v>34</v>
      </c>
      <c r="AE1" s="21" t="s">
        <v>35</v>
      </c>
      <c r="AF1" s="21" t="s">
        <v>36</v>
      </c>
      <c r="AG1" s="21" t="s">
        <v>37</v>
      </c>
      <c r="AH1" s="5" t="s">
        <v>38</v>
      </c>
      <c r="AI1" s="5" t="s">
        <v>39</v>
      </c>
      <c r="AJ1" s="21" t="s">
        <v>40</v>
      </c>
      <c r="AK1" s="21" t="s">
        <v>41</v>
      </c>
      <c r="AL1" s="21" t="s">
        <v>42</v>
      </c>
      <c r="AM1" s="21" t="s">
        <v>43</v>
      </c>
      <c r="AN1" s="21" t="s">
        <v>44</v>
      </c>
      <c r="AO1" s="21" t="s">
        <v>45</v>
      </c>
      <c r="AP1" s="21" t="s">
        <v>46</v>
      </c>
      <c r="AQ1" s="21" t="s">
        <v>47</v>
      </c>
      <c r="AR1" s="21" t="s">
        <v>48</v>
      </c>
      <c r="AS1" s="21" t="s">
        <v>49</v>
      </c>
      <c r="AT1" s="20" t="s">
        <v>50</v>
      </c>
      <c r="AU1" s="20" t="s">
        <v>3</v>
      </c>
      <c r="AV1" s="21" t="s">
        <v>51</v>
      </c>
      <c r="AW1" s="2" t="s">
        <v>52</v>
      </c>
      <c r="AX1" s="2" t="s">
        <v>53</v>
      </c>
      <c r="AY1" s="2" t="s">
        <v>4</v>
      </c>
      <c r="AZ1" s="2" t="s">
        <v>54</v>
      </c>
      <c r="BA1" s="2" t="s">
        <v>55</v>
      </c>
      <c r="BB1" s="2" t="s">
        <v>5</v>
      </c>
      <c r="BC1" s="5" t="s">
        <v>56</v>
      </c>
      <c r="BD1" s="5" t="s">
        <v>57</v>
      </c>
      <c r="BE1" s="5" t="s">
        <v>6</v>
      </c>
      <c r="BF1" s="5" t="s">
        <v>7</v>
      </c>
      <c r="BM1" s="22"/>
      <c r="BR1" s="22"/>
    </row>
    <row r="2" spans="1:70">
      <c r="A2" s="2">
        <v>2018</v>
      </c>
      <c r="B2" s="2">
        <v>25411</v>
      </c>
      <c r="C2" s="4"/>
      <c r="G2" s="2">
        <v>202332</v>
      </c>
      <c r="H2" s="4"/>
      <c r="P2" s="4"/>
      <c r="Q2" s="4"/>
      <c r="R2" s="4"/>
      <c r="S2" s="4"/>
      <c r="T2" s="4"/>
      <c r="U2" s="4"/>
      <c r="V2" s="4"/>
      <c r="W2" s="4"/>
      <c r="Z2" s="4"/>
      <c r="AA2" s="4"/>
      <c r="AB2" s="4"/>
      <c r="AC2" s="4"/>
      <c r="AD2" s="4"/>
      <c r="AE2" s="4"/>
      <c r="AF2" s="4"/>
      <c r="AG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3">
        <f>AU2*(1+AV2)</f>
        <v>12663.144</v>
      </c>
      <c r="AU2" s="3">
        <v>10790</v>
      </c>
      <c r="AV2" s="23">
        <v>0.1736</v>
      </c>
      <c r="AW2" s="2"/>
    </row>
    <row r="3" spans="1:70">
      <c r="A3" s="2">
        <v>2019</v>
      </c>
      <c r="B3" s="2">
        <v>23562</v>
      </c>
      <c r="C3" s="7">
        <f>1-F3</f>
        <v>0.0419803617850996</v>
      </c>
      <c r="D3" s="8">
        <v>0.032599898876045</v>
      </c>
      <c r="E3" s="8">
        <v>0.00938046290905463</v>
      </c>
      <c r="F3" s="9">
        <v>0.9580196382149</v>
      </c>
      <c r="G3" s="2">
        <v>222992</v>
      </c>
      <c r="H3" s="4">
        <f>I3+J3</f>
        <v>3761.60572462367</v>
      </c>
      <c r="I3" s="2">
        <v>2938.92945136004</v>
      </c>
      <c r="J3" s="2">
        <v>822.676273263626</v>
      </c>
      <c r="K3" s="2">
        <v>219230.550413899</v>
      </c>
      <c r="L3" s="17">
        <v>989.141284380516</v>
      </c>
      <c r="M3" s="17"/>
      <c r="N3" s="2">
        <v>768.118817317372</v>
      </c>
      <c r="P3" s="4"/>
      <c r="Q3" s="4"/>
      <c r="R3" s="4"/>
      <c r="S3" s="4"/>
      <c r="T3" s="4"/>
      <c r="U3" s="4"/>
      <c r="V3" s="4"/>
      <c r="W3" s="4"/>
      <c r="X3" s="2">
        <v>221.022467063145</v>
      </c>
      <c r="Z3" s="4"/>
      <c r="AA3" s="4"/>
      <c r="AB3" s="4"/>
      <c r="AC3" s="4"/>
      <c r="AD3" s="4"/>
      <c r="AE3" s="4"/>
      <c r="AF3" s="4"/>
      <c r="AG3" s="4"/>
      <c r="AH3" s="2">
        <v>22572.8587156195</v>
      </c>
      <c r="AJ3" s="4"/>
      <c r="AK3" s="4"/>
      <c r="AL3" s="4"/>
      <c r="AM3" s="4"/>
      <c r="AN3" s="4"/>
      <c r="AO3" s="4"/>
      <c r="AP3" s="4"/>
      <c r="AQ3" s="4"/>
      <c r="AR3" s="4"/>
      <c r="AS3" s="4"/>
      <c r="AT3" s="3">
        <f t="shared" ref="AT3:AT34" si="0">AU3*(1+AV3)</f>
        <v>12428.424</v>
      </c>
      <c r="AU3" s="3">
        <v>10590</v>
      </c>
      <c r="AV3" s="23">
        <v>0.1736</v>
      </c>
      <c r="AW3" s="2"/>
    </row>
    <row r="4" spans="1:70">
      <c r="A4" s="2">
        <v>2020</v>
      </c>
      <c r="B4" s="2">
        <v>24584</v>
      </c>
      <c r="C4" s="7">
        <f t="shared" ref="C4:C24" si="1">1-F4</f>
        <v>0.048418717521153</v>
      </c>
      <c r="D4" s="8">
        <v>0.032875363716192</v>
      </c>
      <c r="E4" s="8">
        <v>0.015543353804961</v>
      </c>
      <c r="F4" s="9">
        <v>0.951581282478847</v>
      </c>
      <c r="G4" s="2">
        <v>240900</v>
      </c>
      <c r="H4" s="4">
        <f t="shared" ref="H4:H24" si="2">I4+J4</f>
        <v>4933.52636113495</v>
      </c>
      <c r="I4" s="2">
        <v>3737.50948282408</v>
      </c>
      <c r="J4" s="2">
        <v>1196.01687831087</v>
      </c>
      <c r="K4" s="2">
        <v>235966.222289356</v>
      </c>
      <c r="L4" s="17">
        <v>1190.32575154003</v>
      </c>
      <c r="M4" s="17">
        <v>18.4051150287432</v>
      </c>
      <c r="N4" s="2">
        <v>808.207941598863</v>
      </c>
      <c r="O4" s="2">
        <v>9.62791013482638</v>
      </c>
      <c r="P4" s="4">
        <f>N4-O4</f>
        <v>798.580031464037</v>
      </c>
      <c r="Q4" s="4">
        <f>(AS4-AK4)*(D4/(D4+E4))</f>
        <v>640.344313733458</v>
      </c>
      <c r="R4" s="4">
        <f>P4+Q4</f>
        <v>1438.92434519749</v>
      </c>
      <c r="S4" s="4">
        <f>I3+R4+O4</f>
        <v>4387.48170669236</v>
      </c>
      <c r="T4" s="4">
        <f>O4/(I4+O4)</f>
        <v>0.00256940408774917</v>
      </c>
      <c r="U4" s="24">
        <f>0.65%*AV4/1%</f>
        <v>0.11284</v>
      </c>
      <c r="V4" s="4">
        <f>S4*T4*(1+U4)</f>
        <v>12.5452828357782</v>
      </c>
      <c r="W4" s="4">
        <f>S4-V4</f>
        <v>4374.93642385658</v>
      </c>
      <c r="X4" s="2">
        <v>382.117809941162</v>
      </c>
      <c r="Y4" s="2">
        <v>8.77720489391663</v>
      </c>
      <c r="Z4" s="4">
        <f>X4-Y4</f>
        <v>373.340605047245</v>
      </c>
      <c r="AA4" s="4">
        <f>(AS4-AK4)*(E4/(E4+D4))</f>
        <v>302.752490018899</v>
      </c>
      <c r="AB4" s="4">
        <f>Z4+AA4</f>
        <v>676.093095066144</v>
      </c>
      <c r="AC4" s="4">
        <f>J3+AB4+Y4</f>
        <v>1507.54657322369</v>
      </c>
      <c r="AD4" s="4">
        <f>Y4/(J4+Y4)</f>
        <v>0.00728523240300866</v>
      </c>
      <c r="AE4" s="24">
        <f>0.65%*AV4/1%</f>
        <v>0.11284</v>
      </c>
      <c r="AF4" s="4">
        <f>AC4*AD4*(1+AE4)</f>
        <v>12.222129359256</v>
      </c>
      <c r="AG4" s="4">
        <f>AC4-AF4</f>
        <v>1495.32444386443</v>
      </c>
      <c r="AH4" s="2">
        <v>23393.67424846</v>
      </c>
      <c r="AI4" s="2">
        <v>6658.00237300285</v>
      </c>
      <c r="AJ4" s="24">
        <v>0.1314</v>
      </c>
      <c r="AK4" s="4">
        <f>AH4*AJ4</f>
        <v>3073.92879624764</v>
      </c>
      <c r="AL4" s="4">
        <f>AH4*(1+AJ4)</f>
        <v>26467.6030447076</v>
      </c>
      <c r="AM4" s="4">
        <f>K3+AL4</f>
        <v>245698.153458607</v>
      </c>
      <c r="AN4" s="4">
        <f>AI4/(AI4+K4)</f>
        <v>0.0274416224606931</v>
      </c>
      <c r="AO4" s="4">
        <v>0</v>
      </c>
      <c r="AP4" s="4">
        <f t="shared" ref="AP4:AP24" si="3">AM4*AN4*(1+AO4)</f>
        <v>6742.35596650052</v>
      </c>
      <c r="AQ4" s="4">
        <f t="shared" ref="AQ4:AQ24" si="4">AM4-AP4</f>
        <v>238955.797492106</v>
      </c>
      <c r="AR4" s="15">
        <v>0.1634</v>
      </c>
      <c r="AS4" s="4">
        <f>B4*(AR4)</f>
        <v>4017.0256</v>
      </c>
      <c r="AT4" s="3">
        <f t="shared" si="0"/>
        <v>12393.216</v>
      </c>
      <c r="AU4" s="3">
        <v>10560</v>
      </c>
      <c r="AV4" s="23">
        <v>0.1736</v>
      </c>
      <c r="AW4" s="2"/>
      <c r="BC4" s="11"/>
      <c r="BD4" s="11"/>
      <c r="BE4" s="11"/>
      <c r="BF4" s="11"/>
    </row>
    <row r="5" spans="1:70">
      <c r="A5" s="2">
        <v>2021</v>
      </c>
      <c r="B5" s="2">
        <v>25535</v>
      </c>
      <c r="C5" s="7">
        <f t="shared" si="1"/>
        <v>0.0853030714432165</v>
      </c>
      <c r="D5" s="8">
        <v>0.0625742701882644</v>
      </c>
      <c r="E5" s="8">
        <v>0.0227288012549521</v>
      </c>
      <c r="F5" s="9">
        <v>0.914696928556784</v>
      </c>
      <c r="G5" s="2">
        <v>258441</v>
      </c>
      <c r="H5" s="4">
        <f t="shared" si="2"/>
        <v>7077.55008760057</v>
      </c>
      <c r="I5" s="2">
        <v>5305.87445977142</v>
      </c>
      <c r="J5" s="2">
        <v>1771.67562782915</v>
      </c>
      <c r="K5" s="2">
        <v>251363.517513367</v>
      </c>
      <c r="L5" s="17">
        <v>2178.21392930253</v>
      </c>
      <c r="M5" s="17">
        <v>34.1902028369113</v>
      </c>
      <c r="N5" s="2">
        <v>1597.83398925733</v>
      </c>
      <c r="O5" s="2">
        <v>29.4690123099899</v>
      </c>
      <c r="P5" s="4">
        <f t="shared" ref="P5:P24" si="5">N5-O5</f>
        <v>1568.36497694734</v>
      </c>
      <c r="Q5" s="4">
        <f t="shared" ref="Q5:Q24" si="6">(AS5-AK5)*(D5/(D5+E5))</f>
        <v>809.355698406601</v>
      </c>
      <c r="R5" s="4">
        <f t="shared" ref="R5:R24" si="7">P5+Q5</f>
        <v>2377.72067535394</v>
      </c>
      <c r="S5" s="4">
        <f t="shared" ref="S5:S24" si="8">I4+R5+O5</f>
        <v>6144.69917048801</v>
      </c>
      <c r="T5" s="4">
        <f t="shared" ref="T5:T24" si="9">O5/(I5+O5)</f>
        <v>0.00552335804886682</v>
      </c>
      <c r="U5" s="24">
        <f t="shared" ref="U5:U24" si="10">0.65%*AV5/1%</f>
        <v>0.11284</v>
      </c>
      <c r="V5" s="4">
        <f t="shared" ref="V5:V24" si="11">S5*T5*(1+U5)</f>
        <v>37.7690925405942</v>
      </c>
      <c r="W5" s="4">
        <f t="shared" ref="W5:W24" si="12">S5-V5</f>
        <v>6106.93007794742</v>
      </c>
      <c r="X5" s="2">
        <v>580.379940045201</v>
      </c>
      <c r="Y5" s="2">
        <v>4.72119052692278</v>
      </c>
      <c r="Z5" s="4">
        <f t="shared" ref="Z5:Z24" si="13">X5-Y5</f>
        <v>575.658749518278</v>
      </c>
      <c r="AA5" s="4">
        <f t="shared" ref="AA5:AA24" si="14">(AS5-AK5)*(E5/(E5+D5))</f>
        <v>293.981611903748</v>
      </c>
      <c r="AB5" s="4">
        <f t="shared" ref="AB5:AB24" si="15">Z5+AA5</f>
        <v>869.640361422026</v>
      </c>
      <c r="AC5" s="4">
        <f t="shared" ref="AC5:AC24" si="16">J4+AB5+Y5</f>
        <v>2070.37843025982</v>
      </c>
      <c r="AD5" s="4">
        <f t="shared" ref="AD5:AD24" si="17">Y5/(J5+Y5)</f>
        <v>0.00265773417185689</v>
      </c>
      <c r="AE5" s="24">
        <f t="shared" ref="AE5:AE24" si="18">0.65%*AV5/1%</f>
        <v>0.11284</v>
      </c>
      <c r="AF5" s="4">
        <f t="shared" ref="AF5:AF24" si="19">AC5*AD5*(1+AE5)</f>
        <v>6.1234193521103</v>
      </c>
      <c r="AG5" s="4">
        <f t="shared" ref="AG5:AG24" si="20">AC5-AF5</f>
        <v>2064.25501090771</v>
      </c>
      <c r="AH5" s="2">
        <v>23356.7860706975</v>
      </c>
      <c r="AI5" s="2">
        <v>7959.49084668668</v>
      </c>
      <c r="AJ5" s="24">
        <v>0.1314</v>
      </c>
      <c r="AK5" s="4">
        <f t="shared" ref="AK5:AK24" si="21">AH5*AJ5</f>
        <v>3069.08168968965</v>
      </c>
      <c r="AL5" s="4">
        <f>AH5*(1+AJ5)</f>
        <v>26425.8677603872</v>
      </c>
      <c r="AM5" s="4">
        <f t="shared" ref="AM5:AM24" si="22">K4+AL5</f>
        <v>262392.090049743</v>
      </c>
      <c r="AN5" s="4">
        <f t="shared" ref="AN5:AN24" si="23">AI5/(AI5+K5)</f>
        <v>0.0306933460976799</v>
      </c>
      <c r="AO5" s="4">
        <v>0</v>
      </c>
      <c r="AP5" s="4">
        <f t="shared" si="3"/>
        <v>8053.69123319036</v>
      </c>
      <c r="AQ5" s="4">
        <f t="shared" si="4"/>
        <v>254338.398816553</v>
      </c>
      <c r="AR5" s="15">
        <v>0.1634</v>
      </c>
      <c r="AS5" s="4">
        <f t="shared" ref="AS5:AS24" si="24">B5*(AR5)</f>
        <v>4172.419</v>
      </c>
      <c r="AT5" s="3">
        <f t="shared" si="0"/>
        <v>12369.744</v>
      </c>
      <c r="AU5" s="3">
        <v>10540</v>
      </c>
      <c r="AV5" s="23">
        <v>0.1736</v>
      </c>
      <c r="AW5" s="1">
        <v>69.96</v>
      </c>
      <c r="AX5" s="1">
        <v>87.12</v>
      </c>
      <c r="AY5" s="1">
        <v>60.36</v>
      </c>
      <c r="AZ5" s="1">
        <v>81.15</v>
      </c>
      <c r="BA5" s="1">
        <v>127.98</v>
      </c>
      <c r="BB5" s="3">
        <v>205.33</v>
      </c>
      <c r="BC5" s="15">
        <f t="shared" ref="BC5:BC24" si="25">AW5*15*AT5*(N5+Q5)+W5*AZ5*AT5</f>
        <v>37377435684.6698</v>
      </c>
      <c r="BD5" s="15">
        <f t="shared" ref="BD5:BD24" si="26">AT5*15*AX5*AB5+AG5*AT5*BA5</f>
        <v>17325426876.9287</v>
      </c>
      <c r="BE5" s="15">
        <f t="shared" ref="BE5:BE24" si="27">AU5*15*AY5*AL5+AQ5*AU5*BB5</f>
        <v>802613454406.172</v>
      </c>
      <c r="BF5" s="15">
        <f>(BE5+BD5+BC5)/100000000000</f>
        <v>8.57316316967771</v>
      </c>
    </row>
    <row r="6" spans="1:70">
      <c r="A6" s="2">
        <v>2022</v>
      </c>
      <c r="B6" s="2">
        <v>26419</v>
      </c>
      <c r="C6" s="7">
        <f t="shared" si="1"/>
        <v>0.0948372473238583</v>
      </c>
      <c r="D6" s="8">
        <v>0.0714844983147803</v>
      </c>
      <c r="E6" s="8">
        <v>0.0233527490090781</v>
      </c>
      <c r="F6" s="9">
        <v>0.905162752676142</v>
      </c>
      <c r="G6" s="2">
        <v>275271</v>
      </c>
      <c r="H6" s="4">
        <f t="shared" si="2"/>
        <v>9519.25801058289</v>
      </c>
      <c r="I6" s="2">
        <v>7133.62247037181</v>
      </c>
      <c r="J6" s="2">
        <v>2385.63554021108</v>
      </c>
      <c r="K6" s="2">
        <v>265751.540156694</v>
      </c>
      <c r="L6" s="17">
        <v>2505.50523704901</v>
      </c>
      <c r="M6" s="17">
        <v>63.7973140666927</v>
      </c>
      <c r="N6" s="2">
        <v>1888.54896097818</v>
      </c>
      <c r="O6" s="2">
        <v>60.8009503777894</v>
      </c>
      <c r="P6" s="4">
        <f t="shared" si="5"/>
        <v>1827.74801060039</v>
      </c>
      <c r="Q6" s="4">
        <f t="shared" si="6"/>
        <v>885.389842662028</v>
      </c>
      <c r="R6" s="4">
        <f t="shared" si="7"/>
        <v>2713.13785326242</v>
      </c>
      <c r="S6" s="4">
        <f t="shared" si="8"/>
        <v>8079.81326341163</v>
      </c>
      <c r="T6" s="4">
        <f t="shared" si="9"/>
        <v>0.00845112204578229</v>
      </c>
      <c r="U6" s="24">
        <f t="shared" si="10"/>
        <v>0.11284</v>
      </c>
      <c r="V6" s="4">
        <f t="shared" si="11"/>
        <v>75.9885967817159</v>
      </c>
      <c r="W6" s="4">
        <f t="shared" si="12"/>
        <v>8003.82466662991</v>
      </c>
      <c r="X6" s="2">
        <v>616.956276070835</v>
      </c>
      <c r="Y6" s="2">
        <v>2.99636368890333</v>
      </c>
      <c r="Z6" s="4">
        <f t="shared" si="13"/>
        <v>613.959912381932</v>
      </c>
      <c r="AA6" s="4">
        <f t="shared" si="14"/>
        <v>289.241545486211</v>
      </c>
      <c r="AB6" s="4">
        <f t="shared" si="15"/>
        <v>903.201457868143</v>
      </c>
      <c r="AC6" s="4">
        <f t="shared" si="16"/>
        <v>2677.8734493862</v>
      </c>
      <c r="AD6" s="4">
        <f t="shared" si="17"/>
        <v>0.00125442672184487</v>
      </c>
      <c r="AE6" s="24">
        <f t="shared" si="18"/>
        <v>0.11284</v>
      </c>
      <c r="AF6" s="4">
        <f t="shared" si="19"/>
        <v>3.73824769069399</v>
      </c>
      <c r="AG6" s="4">
        <f t="shared" si="20"/>
        <v>2674.1352016955</v>
      </c>
      <c r="AH6" s="2">
        <v>23913.494762951</v>
      </c>
      <c r="AI6" s="2">
        <v>9525.47211962473</v>
      </c>
      <c r="AJ6" s="24">
        <v>0.1314</v>
      </c>
      <c r="AK6" s="4">
        <f t="shared" si="21"/>
        <v>3142.23321185176</v>
      </c>
      <c r="AL6" s="4">
        <f t="shared" ref="AL6:AL24" si="28">AH6*(1+AJ6)</f>
        <v>27055.7279748028</v>
      </c>
      <c r="AM6" s="4">
        <f t="shared" si="22"/>
        <v>278419.24548817</v>
      </c>
      <c r="AN6" s="4">
        <f t="shared" si="23"/>
        <v>0.0346032240064536</v>
      </c>
      <c r="AO6" s="4">
        <v>0</v>
      </c>
      <c r="AP6" s="4">
        <f t="shared" si="3"/>
        <v>9634.20351933493</v>
      </c>
      <c r="AQ6" s="4">
        <f t="shared" si="4"/>
        <v>268785.041968835</v>
      </c>
      <c r="AR6" s="15">
        <v>0.1634</v>
      </c>
      <c r="AS6" s="4">
        <f t="shared" si="24"/>
        <v>4316.8646</v>
      </c>
      <c r="AT6" s="3">
        <f t="shared" si="0"/>
        <v>12358.008</v>
      </c>
      <c r="AU6" s="3">
        <v>10530</v>
      </c>
      <c r="AV6" s="23">
        <v>0.1736</v>
      </c>
      <c r="AW6" s="2">
        <v>63.50439</v>
      </c>
      <c r="AX6" s="3">
        <v>75.52362</v>
      </c>
      <c r="AY6" s="3">
        <v>50.4199</v>
      </c>
      <c r="AZ6" s="3">
        <v>73.91077</v>
      </c>
      <c r="BA6" s="3">
        <v>117.62685</v>
      </c>
      <c r="BB6" s="3">
        <v>195.74948</v>
      </c>
      <c r="BC6" s="15">
        <f t="shared" si="25"/>
        <v>39964910794.328</v>
      </c>
      <c r="BD6" s="15">
        <f t="shared" si="26"/>
        <v>16531872749.1982</v>
      </c>
      <c r="BE6" s="15">
        <f t="shared" si="27"/>
        <v>769498058310.182</v>
      </c>
      <c r="BF6" s="11">
        <f t="shared" ref="BF6:BF24" si="29">(BE6+BD6+BC6)/100000000000</f>
        <v>8.25994841853708</v>
      </c>
    </row>
    <row r="7" spans="1:70">
      <c r="A7" s="2">
        <v>2023</v>
      </c>
      <c r="B7" s="2">
        <v>27241</v>
      </c>
      <c r="C7" s="7">
        <f t="shared" si="1"/>
        <v>0.113208921785586</v>
      </c>
      <c r="D7" s="8">
        <v>0.085150312799082</v>
      </c>
      <c r="E7" s="8">
        <v>0.0280586089865036</v>
      </c>
      <c r="F7" s="9">
        <v>0.886791078214414</v>
      </c>
      <c r="G7" s="2">
        <v>291214</v>
      </c>
      <c r="H7" s="4">
        <f t="shared" si="2"/>
        <v>12461.0783897459</v>
      </c>
      <c r="I7" s="2">
        <v>9313.60419080649</v>
      </c>
      <c r="J7" s="2">
        <v>3147.47419893943</v>
      </c>
      <c r="K7" s="2">
        <v>278752.829191179</v>
      </c>
      <c r="L7" s="17">
        <v>3083.92423836114</v>
      </c>
      <c r="M7" s="17">
        <v>142.103859198116</v>
      </c>
      <c r="N7" s="2">
        <v>2319.57967095979</v>
      </c>
      <c r="O7" s="2">
        <v>139.597950525118</v>
      </c>
      <c r="P7" s="4">
        <f t="shared" si="5"/>
        <v>2179.98172043468</v>
      </c>
      <c r="Q7" s="4">
        <f t="shared" si="6"/>
        <v>960.452661111612</v>
      </c>
      <c r="R7" s="4">
        <f t="shared" si="7"/>
        <v>3140.43438154629</v>
      </c>
      <c r="S7" s="4">
        <f t="shared" si="8"/>
        <v>10413.6548024432</v>
      </c>
      <c r="T7" s="4">
        <f t="shared" si="9"/>
        <v>0.0147672659949546</v>
      </c>
      <c r="U7" s="24">
        <f t="shared" si="10"/>
        <v>0.11284</v>
      </c>
      <c r="V7" s="4">
        <f t="shared" si="11"/>
        <v>171.13388223419</v>
      </c>
      <c r="W7" s="4">
        <f t="shared" si="12"/>
        <v>10242.520920209</v>
      </c>
      <c r="X7" s="2">
        <v>764.344567401344</v>
      </c>
      <c r="Y7" s="2">
        <v>2.50590867299798</v>
      </c>
      <c r="Z7" s="4">
        <f t="shared" si="13"/>
        <v>761.838658728346</v>
      </c>
      <c r="AA7" s="4">
        <f t="shared" si="14"/>
        <v>316.486983809038</v>
      </c>
      <c r="AB7" s="4">
        <f t="shared" si="15"/>
        <v>1078.32564253738</v>
      </c>
      <c r="AC7" s="4">
        <f t="shared" si="16"/>
        <v>3466.46709142146</v>
      </c>
      <c r="AD7" s="4">
        <f t="shared" si="17"/>
        <v>0.000795531586673214</v>
      </c>
      <c r="AE7" s="24">
        <f t="shared" si="18"/>
        <v>0.11284</v>
      </c>
      <c r="AF7" s="4">
        <f t="shared" si="19"/>
        <v>3.06886113532749</v>
      </c>
      <c r="AG7" s="4">
        <f t="shared" si="20"/>
        <v>3463.39823028613</v>
      </c>
      <c r="AH7" s="2">
        <v>24157.0757616389</v>
      </c>
      <c r="AI7" s="2">
        <v>11155.7867271539</v>
      </c>
      <c r="AJ7" s="24">
        <v>0.1314</v>
      </c>
      <c r="AK7" s="4">
        <f t="shared" si="21"/>
        <v>3174.23975507935</v>
      </c>
      <c r="AL7" s="4">
        <f t="shared" si="28"/>
        <v>27331.3155167182</v>
      </c>
      <c r="AM7" s="4">
        <f t="shared" si="22"/>
        <v>293082.855673412</v>
      </c>
      <c r="AN7" s="4">
        <f t="shared" si="23"/>
        <v>0.0384803559280779</v>
      </c>
      <c r="AO7" s="4">
        <v>0</v>
      </c>
      <c r="AP7" s="4">
        <f t="shared" si="3"/>
        <v>11277.9326027304</v>
      </c>
      <c r="AQ7" s="4">
        <f t="shared" si="4"/>
        <v>281804.923070682</v>
      </c>
      <c r="AR7" s="15">
        <v>0.1634</v>
      </c>
      <c r="AS7" s="4">
        <f t="shared" si="24"/>
        <v>4451.1794</v>
      </c>
      <c r="AT7" s="3">
        <f t="shared" si="0"/>
        <v>12381.48</v>
      </c>
      <c r="AU7" s="3">
        <v>10550</v>
      </c>
      <c r="AV7" s="23">
        <v>0.1736</v>
      </c>
      <c r="AW7" s="2">
        <v>58.60798</v>
      </c>
      <c r="AX7" s="3">
        <v>70.20926</v>
      </c>
      <c r="AY7" s="3">
        <v>46.95855</v>
      </c>
      <c r="AZ7" s="3">
        <v>67.67188</v>
      </c>
      <c r="BA7" s="3">
        <v>109.01674</v>
      </c>
      <c r="BB7" s="3">
        <v>188.31628</v>
      </c>
      <c r="BC7" s="15">
        <f t="shared" si="25"/>
        <v>44284488951.3661</v>
      </c>
      <c r="BD7" s="15">
        <f t="shared" si="26"/>
        <v>18735594438.4872</v>
      </c>
      <c r="BE7" s="15">
        <f t="shared" si="27"/>
        <v>762976411367.93</v>
      </c>
      <c r="BF7" s="11">
        <f t="shared" si="29"/>
        <v>8.25996494757783</v>
      </c>
    </row>
    <row r="8" spans="1:70">
      <c r="A8" s="2">
        <v>2024</v>
      </c>
      <c r="B8" s="2">
        <v>27993</v>
      </c>
      <c r="C8" s="7">
        <f t="shared" si="1"/>
        <v>0.151921549573801</v>
      </c>
      <c r="D8" s="8">
        <v>0.117148866299154</v>
      </c>
      <c r="E8" s="8">
        <v>0.0347726832746464</v>
      </c>
      <c r="F8" s="9">
        <v>0.848078450426199</v>
      </c>
      <c r="G8" s="2">
        <v>306166</v>
      </c>
      <c r="H8" s="4">
        <f t="shared" si="2"/>
        <v>16506.4772076612</v>
      </c>
      <c r="I8" s="2">
        <v>12386.0870320505</v>
      </c>
      <c r="J8" s="2">
        <v>4120.39017561064</v>
      </c>
      <c r="K8" s="2">
        <v>289658.978149812</v>
      </c>
      <c r="L8" s="17">
        <v>4252.7399372194</v>
      </c>
      <c r="M8" s="17">
        <v>207.341119304139</v>
      </c>
      <c r="N8" s="2">
        <v>3279.34821431223</v>
      </c>
      <c r="O8" s="2">
        <v>206.865373068174</v>
      </c>
      <c r="P8" s="4">
        <f t="shared" si="5"/>
        <v>3072.48284124405</v>
      </c>
      <c r="Q8" s="4">
        <f t="shared" si="6"/>
        <v>1121.65196157901</v>
      </c>
      <c r="R8" s="4">
        <f t="shared" si="7"/>
        <v>4194.13480282306</v>
      </c>
      <c r="S8" s="4">
        <f t="shared" si="8"/>
        <v>13714.6043666977</v>
      </c>
      <c r="T8" s="4">
        <f t="shared" si="9"/>
        <v>0.0164270749553607</v>
      </c>
      <c r="U8" s="24">
        <f t="shared" si="10"/>
        <v>0.11284</v>
      </c>
      <c r="V8" s="4">
        <f t="shared" si="11"/>
        <v>250.712651613814</v>
      </c>
      <c r="W8" s="4">
        <f t="shared" si="12"/>
        <v>13463.8917150839</v>
      </c>
      <c r="X8" s="2">
        <v>973.391722907178</v>
      </c>
      <c r="Y8" s="2">
        <v>0.475746235962106</v>
      </c>
      <c r="Z8" s="4">
        <f t="shared" si="13"/>
        <v>972.915976671216</v>
      </c>
      <c r="AA8" s="4">
        <f t="shared" si="14"/>
        <v>332.93406617162</v>
      </c>
      <c r="AB8" s="4">
        <f t="shared" si="15"/>
        <v>1305.85004284284</v>
      </c>
      <c r="AC8" s="4">
        <f t="shared" si="16"/>
        <v>4453.79998801823</v>
      </c>
      <c r="AD8" s="4">
        <f t="shared" si="17"/>
        <v>0.000115448123036461</v>
      </c>
      <c r="AE8" s="24">
        <f t="shared" si="18"/>
        <v>0.11284</v>
      </c>
      <c r="AF8" s="4">
        <f t="shared" si="19"/>
        <v>0.572203241677284</v>
      </c>
      <c r="AG8" s="4">
        <f t="shared" si="20"/>
        <v>4453.22778477655</v>
      </c>
      <c r="AH8" s="2">
        <v>23740.2600627806</v>
      </c>
      <c r="AI8" s="2">
        <v>12834.1111041472</v>
      </c>
      <c r="AJ8" s="24">
        <v>0.1314</v>
      </c>
      <c r="AK8" s="4">
        <f t="shared" si="21"/>
        <v>3119.47017224937</v>
      </c>
      <c r="AL8" s="4">
        <f t="shared" si="28"/>
        <v>26859.73023503</v>
      </c>
      <c r="AM8" s="4">
        <f t="shared" si="22"/>
        <v>305612.559426209</v>
      </c>
      <c r="AN8" s="4">
        <f t="shared" si="23"/>
        <v>0.0424277828488581</v>
      </c>
      <c r="AO8" s="4">
        <v>0</v>
      </c>
      <c r="AP8" s="4">
        <f t="shared" si="3"/>
        <v>12966.4633072189</v>
      </c>
      <c r="AQ8" s="4">
        <f t="shared" si="4"/>
        <v>292646.09611899</v>
      </c>
      <c r="AR8" s="15">
        <v>0.1634</v>
      </c>
      <c r="AS8" s="4">
        <f t="shared" si="24"/>
        <v>4574.0562</v>
      </c>
      <c r="AT8" s="3">
        <f t="shared" si="0"/>
        <v>12428.424</v>
      </c>
      <c r="AU8" s="3">
        <v>10590</v>
      </c>
      <c r="AV8" s="23">
        <v>0.1736</v>
      </c>
      <c r="AW8" s="2">
        <v>54.93549</v>
      </c>
      <c r="AX8" s="3">
        <v>66.75571</v>
      </c>
      <c r="AY8" s="3">
        <v>44.77463</v>
      </c>
      <c r="AZ8" s="3">
        <v>62.69849</v>
      </c>
      <c r="BA8" s="3">
        <v>102.15124</v>
      </c>
      <c r="BB8" s="3">
        <v>182.69018</v>
      </c>
      <c r="BC8" s="15">
        <f t="shared" si="25"/>
        <v>55564155339.1093</v>
      </c>
      <c r="BD8" s="15">
        <f t="shared" si="26"/>
        <v>21905059289.7772</v>
      </c>
      <c r="BE8" s="15">
        <f t="shared" si="27"/>
        <v>757217672520.834</v>
      </c>
      <c r="BF8" s="11">
        <f t="shared" si="29"/>
        <v>8.34686887149721</v>
      </c>
    </row>
    <row r="9" spans="1:70">
      <c r="A9" s="2">
        <v>2025</v>
      </c>
      <c r="B9" s="2">
        <v>28671</v>
      </c>
      <c r="C9" s="7">
        <f t="shared" si="1"/>
        <v>0.209462516960962</v>
      </c>
      <c r="D9" s="8">
        <v>0.164993883786381</v>
      </c>
      <c r="E9" s="8">
        <v>0.0445686331745817</v>
      </c>
      <c r="F9" s="9">
        <v>0.790537483039038</v>
      </c>
      <c r="G9" s="2">
        <v>320049</v>
      </c>
      <c r="H9" s="4">
        <f t="shared" si="2"/>
        <v>22278.4307772384</v>
      </c>
      <c r="I9" s="2">
        <v>16880.7057955733</v>
      </c>
      <c r="J9" s="2">
        <v>5397.72498166505</v>
      </c>
      <c r="K9" s="2">
        <v>297770.377292236</v>
      </c>
      <c r="L9" s="17">
        <v>6008.36692378775</v>
      </c>
      <c r="M9" s="17">
        <v>236.413354210563</v>
      </c>
      <c r="N9" s="2">
        <v>4730.53964203932</v>
      </c>
      <c r="O9" s="2">
        <v>235.920878516539</v>
      </c>
      <c r="P9" s="4">
        <f t="shared" si="5"/>
        <v>4494.61876352278</v>
      </c>
      <c r="Q9" s="4">
        <f t="shared" si="6"/>
        <v>1343.64526569602</v>
      </c>
      <c r="R9" s="4">
        <f t="shared" si="7"/>
        <v>5838.2640292188</v>
      </c>
      <c r="S9" s="4">
        <f t="shared" si="8"/>
        <v>18460.2719397858</v>
      </c>
      <c r="T9" s="4">
        <f t="shared" si="9"/>
        <v>0.0137831409779862</v>
      </c>
      <c r="U9" s="24">
        <f t="shared" si="10"/>
        <v>0.11284</v>
      </c>
      <c r="V9" s="4">
        <f t="shared" si="11"/>
        <v>283.151600115226</v>
      </c>
      <c r="W9" s="4">
        <f t="shared" si="12"/>
        <v>18177.1203396706</v>
      </c>
      <c r="X9" s="2">
        <v>1277.82728174843</v>
      </c>
      <c r="Y9" s="2">
        <v>0.492475694025416</v>
      </c>
      <c r="Z9" s="4">
        <f t="shared" si="13"/>
        <v>1277.33480605441</v>
      </c>
      <c r="AA9" s="4">
        <f t="shared" si="14"/>
        <v>362.9494111497</v>
      </c>
      <c r="AB9" s="4">
        <f t="shared" si="15"/>
        <v>1640.28421720411</v>
      </c>
      <c r="AC9" s="4">
        <f t="shared" si="16"/>
        <v>5761.16686850878</v>
      </c>
      <c r="AD9" s="4">
        <f t="shared" si="17"/>
        <v>9.12293174396026e-5</v>
      </c>
      <c r="AE9" s="24">
        <f t="shared" si="18"/>
        <v>0.11284</v>
      </c>
      <c r="AF9" s="4">
        <f t="shared" si="19"/>
        <v>0.584894594379214</v>
      </c>
      <c r="AG9" s="4">
        <f t="shared" si="20"/>
        <v>5760.5819739144</v>
      </c>
      <c r="AH9" s="2">
        <v>22665.5001762122</v>
      </c>
      <c r="AI9" s="2">
        <v>14554.101033788</v>
      </c>
      <c r="AJ9" s="24">
        <v>0.1314</v>
      </c>
      <c r="AK9" s="4">
        <f t="shared" si="21"/>
        <v>2978.24672315428</v>
      </c>
      <c r="AL9" s="4">
        <f t="shared" si="28"/>
        <v>25643.7468993665</v>
      </c>
      <c r="AM9" s="4">
        <f t="shared" si="22"/>
        <v>315302.725049179</v>
      </c>
      <c r="AN9" s="4">
        <f t="shared" si="23"/>
        <v>0.0465992967051257</v>
      </c>
      <c r="AO9" s="4">
        <v>0</v>
      </c>
      <c r="AP9" s="4">
        <f t="shared" si="3"/>
        <v>14692.8852365013</v>
      </c>
      <c r="AQ9" s="4">
        <f t="shared" si="4"/>
        <v>300609.839812677</v>
      </c>
      <c r="AR9" s="15">
        <v>0.1634</v>
      </c>
      <c r="AS9" s="4">
        <f t="shared" si="24"/>
        <v>4684.8414</v>
      </c>
      <c r="AT9" s="3">
        <f t="shared" si="0"/>
        <v>12522.312</v>
      </c>
      <c r="AU9" s="3">
        <v>10670</v>
      </c>
      <c r="AV9" s="23">
        <v>0.1736</v>
      </c>
      <c r="AW9" s="2">
        <v>52.13797</v>
      </c>
      <c r="AX9" s="3">
        <v>64.15557</v>
      </c>
      <c r="AY9" s="3">
        <v>43.19394</v>
      </c>
      <c r="AZ9" s="3">
        <v>58.63189</v>
      </c>
      <c r="BA9" s="3">
        <v>96.56539</v>
      </c>
      <c r="BB9" s="3">
        <v>178.26752</v>
      </c>
      <c r="BC9" s="15">
        <f t="shared" si="25"/>
        <v>72832195641.0512</v>
      </c>
      <c r="BD9" s="15">
        <f t="shared" si="26"/>
        <v>26732298297.238</v>
      </c>
      <c r="BE9" s="15">
        <f t="shared" si="27"/>
        <v>749074413747.479</v>
      </c>
      <c r="BF9" s="11">
        <f t="shared" si="29"/>
        <v>8.48638907685769</v>
      </c>
    </row>
    <row r="10" spans="1:70">
      <c r="A10" s="2">
        <v>2026</v>
      </c>
      <c r="B10" s="2">
        <v>29267</v>
      </c>
      <c r="C10" s="7">
        <f t="shared" si="1"/>
        <v>0.226704534021912</v>
      </c>
      <c r="D10" s="8">
        <v>0.175460775773863</v>
      </c>
      <c r="E10" s="8">
        <v>0.0512437582480487</v>
      </c>
      <c r="F10" s="9">
        <v>0.773295465978088</v>
      </c>
      <c r="G10" s="2">
        <v>332813</v>
      </c>
      <c r="H10" s="4">
        <f t="shared" si="2"/>
        <v>28616.7302102575</v>
      </c>
      <c r="I10" s="2">
        <v>21719.2794863226</v>
      </c>
      <c r="J10" s="2">
        <v>6897.45072393496</v>
      </c>
      <c r="K10" s="2">
        <v>304197.063458072</v>
      </c>
      <c r="L10" s="17">
        <v>6634.9615972193</v>
      </c>
      <c r="M10" s="17">
        <v>296.662164200159</v>
      </c>
      <c r="N10" s="2">
        <v>5135.21052457366</v>
      </c>
      <c r="O10" s="2">
        <v>296.636833824425</v>
      </c>
      <c r="P10" s="4">
        <f t="shared" si="5"/>
        <v>4838.57369074924</v>
      </c>
      <c r="Q10" s="4">
        <f t="shared" si="6"/>
        <v>1399.61646575857</v>
      </c>
      <c r="R10" s="4">
        <f t="shared" si="7"/>
        <v>6238.19015650781</v>
      </c>
      <c r="S10" s="4">
        <f t="shared" si="8"/>
        <v>23415.5327859055</v>
      </c>
      <c r="T10" s="4">
        <f t="shared" si="9"/>
        <v>0.0134737446087115</v>
      </c>
      <c r="U10" s="24">
        <f t="shared" si="10"/>
        <v>0.11284</v>
      </c>
      <c r="V10" s="4">
        <f t="shared" si="11"/>
        <v>351.095354124485</v>
      </c>
      <c r="W10" s="4">
        <f t="shared" si="12"/>
        <v>23064.437431781</v>
      </c>
      <c r="X10" s="2">
        <v>1499.75107264564</v>
      </c>
      <c r="Y10" s="2">
        <v>0.0253303757344838</v>
      </c>
      <c r="Z10" s="4">
        <f t="shared" si="13"/>
        <v>1499.72574226991</v>
      </c>
      <c r="AA10" s="4">
        <f t="shared" si="14"/>
        <v>408.761488116048</v>
      </c>
      <c r="AB10" s="4">
        <f t="shared" si="15"/>
        <v>1908.48723038596</v>
      </c>
      <c r="AC10" s="4">
        <f t="shared" si="16"/>
        <v>7306.23754242674</v>
      </c>
      <c r="AD10" s="4">
        <f t="shared" si="17"/>
        <v>3.67241227588651e-6</v>
      </c>
      <c r="AE10" s="24">
        <f t="shared" si="18"/>
        <v>0.11284</v>
      </c>
      <c r="AF10" s="4">
        <f t="shared" si="19"/>
        <v>0.0298591847565929</v>
      </c>
      <c r="AG10" s="4">
        <f t="shared" si="20"/>
        <v>7306.20768324199</v>
      </c>
      <c r="AH10" s="2">
        <v>22632.0384027807</v>
      </c>
      <c r="AI10" s="2">
        <v>16205.3522369444</v>
      </c>
      <c r="AJ10" s="24">
        <v>0.1314</v>
      </c>
      <c r="AK10" s="4">
        <f t="shared" si="21"/>
        <v>2973.84984612538</v>
      </c>
      <c r="AL10" s="4">
        <f t="shared" si="28"/>
        <v>25605.8882489061</v>
      </c>
      <c r="AM10" s="4">
        <f t="shared" si="22"/>
        <v>323376.265541142</v>
      </c>
      <c r="AN10" s="4">
        <f t="shared" si="23"/>
        <v>0.05057812127225</v>
      </c>
      <c r="AO10" s="4">
        <v>0</v>
      </c>
      <c r="AP10" s="4">
        <f t="shared" si="3"/>
        <v>16355.7639751072</v>
      </c>
      <c r="AQ10" s="4">
        <f t="shared" si="4"/>
        <v>307020.501566035</v>
      </c>
      <c r="AR10" s="15">
        <v>0.1634</v>
      </c>
      <c r="AS10" s="4">
        <f t="shared" si="24"/>
        <v>4782.2278</v>
      </c>
      <c r="AT10" s="3">
        <f t="shared" si="0"/>
        <v>12663.144</v>
      </c>
      <c r="AU10" s="3">
        <v>10790</v>
      </c>
      <c r="AV10" s="23">
        <v>0.1736</v>
      </c>
      <c r="AW10" s="2">
        <v>49.82293</v>
      </c>
      <c r="AX10" s="3">
        <v>62.09085</v>
      </c>
      <c r="AY10" s="3">
        <v>41.95079</v>
      </c>
      <c r="AZ10" s="3">
        <v>55.19942</v>
      </c>
      <c r="BA10" s="3">
        <v>91.90602</v>
      </c>
      <c r="BB10" s="3">
        <v>174.61368</v>
      </c>
      <c r="BC10" s="15">
        <f t="shared" si="25"/>
        <v>77965799737.8363</v>
      </c>
      <c r="BD10" s="15">
        <f t="shared" si="26"/>
        <v>31011765938.2465</v>
      </c>
      <c r="BE10" s="15">
        <f t="shared" si="27"/>
        <v>752308884940.1</v>
      </c>
      <c r="BF10" s="11">
        <f t="shared" si="29"/>
        <v>8.61286450616183</v>
      </c>
    </row>
    <row r="11" spans="1:70">
      <c r="A11" s="2">
        <v>2027</v>
      </c>
      <c r="B11" s="2">
        <v>29821</v>
      </c>
      <c r="C11" s="7">
        <f t="shared" si="1"/>
        <v>0.245642519234013</v>
      </c>
      <c r="D11" s="8">
        <v>0.186948865151382</v>
      </c>
      <c r="E11" s="8">
        <v>0.0586936540826313</v>
      </c>
      <c r="F11" s="9">
        <v>0.754357480765987</v>
      </c>
      <c r="G11" s="2">
        <v>344472</v>
      </c>
      <c r="H11" s="4">
        <f t="shared" si="2"/>
        <v>35569.8505367146</v>
      </c>
      <c r="I11" s="2">
        <v>26928.1597531463</v>
      </c>
      <c r="J11" s="2">
        <v>8641.69078356824</v>
      </c>
      <c r="K11" s="2">
        <v>308902.257462042</v>
      </c>
      <c r="L11" s="17">
        <v>7325.30556607752</v>
      </c>
      <c r="M11" s="17">
        <v>372.18523962047</v>
      </c>
      <c r="N11" s="2">
        <v>5575.00210767937</v>
      </c>
      <c r="O11" s="2">
        <v>366.121840855609</v>
      </c>
      <c r="P11" s="4">
        <f t="shared" si="5"/>
        <v>5208.88026682376</v>
      </c>
      <c r="Q11" s="4">
        <f t="shared" si="6"/>
        <v>1458.81418359945</v>
      </c>
      <c r="R11" s="4">
        <f t="shared" si="7"/>
        <v>6667.69445042321</v>
      </c>
      <c r="S11" s="4">
        <f t="shared" si="8"/>
        <v>28753.0957776014</v>
      </c>
      <c r="T11" s="4">
        <f t="shared" si="9"/>
        <v>0.0134138661827269</v>
      </c>
      <c r="U11" s="24">
        <f t="shared" si="10"/>
        <v>0.11284</v>
      </c>
      <c r="V11" s="4">
        <f t="shared" si="11"/>
        <v>429.211458909505</v>
      </c>
      <c r="W11" s="4">
        <f t="shared" si="12"/>
        <v>28323.8843186919</v>
      </c>
      <c r="X11" s="2">
        <v>1750.30345839815</v>
      </c>
      <c r="Y11" s="2">
        <v>6.06339876486527</v>
      </c>
      <c r="Z11" s="4">
        <f t="shared" si="13"/>
        <v>1744.24005963328</v>
      </c>
      <c r="AA11" s="4">
        <f t="shared" si="14"/>
        <v>458.002967783136</v>
      </c>
      <c r="AB11" s="4">
        <f t="shared" si="15"/>
        <v>2202.24302741642</v>
      </c>
      <c r="AC11" s="4">
        <f t="shared" si="16"/>
        <v>9105.75715011624</v>
      </c>
      <c r="AD11" s="4">
        <f t="shared" si="17"/>
        <v>0.000701152997301018</v>
      </c>
      <c r="AE11" s="24">
        <f t="shared" si="18"/>
        <v>0.11284</v>
      </c>
      <c r="AF11" s="4">
        <f t="shared" si="19"/>
        <v>7.10495916166263</v>
      </c>
      <c r="AG11" s="4">
        <f t="shared" si="20"/>
        <v>9098.65219095458</v>
      </c>
      <c r="AH11" s="2">
        <v>22495.6944339225</v>
      </c>
      <c r="AI11" s="2">
        <v>17790.5004299529</v>
      </c>
      <c r="AJ11" s="24">
        <v>0.1314</v>
      </c>
      <c r="AK11" s="4">
        <f t="shared" si="21"/>
        <v>2955.93424861742</v>
      </c>
      <c r="AL11" s="4">
        <f t="shared" si="28"/>
        <v>25451.6286825399</v>
      </c>
      <c r="AM11" s="4">
        <f t="shared" si="22"/>
        <v>329648.692140612</v>
      </c>
      <c r="AN11" s="4">
        <f t="shared" si="23"/>
        <v>0.0544563661121451</v>
      </c>
      <c r="AO11" s="4">
        <v>0</v>
      </c>
      <c r="AP11" s="4">
        <f t="shared" si="3"/>
        <v>17951.469867599</v>
      </c>
      <c r="AQ11" s="4">
        <f t="shared" si="4"/>
        <v>311697.222273013</v>
      </c>
      <c r="AR11" s="15">
        <v>0.1634</v>
      </c>
      <c r="AS11" s="4">
        <f t="shared" si="24"/>
        <v>4872.7514</v>
      </c>
      <c r="AT11" s="3">
        <f t="shared" si="0"/>
        <v>12839.184</v>
      </c>
      <c r="AU11" s="3">
        <v>10940</v>
      </c>
      <c r="AV11" s="23">
        <v>0.1736</v>
      </c>
      <c r="AW11" s="2">
        <v>47.81287</v>
      </c>
      <c r="AX11" s="3">
        <v>60.26845</v>
      </c>
      <c r="AY11" s="3">
        <v>40.90286</v>
      </c>
      <c r="AZ11" s="3">
        <v>52.12911</v>
      </c>
      <c r="BA11" s="3">
        <v>87.70894</v>
      </c>
      <c r="BB11" s="3">
        <v>171.52633</v>
      </c>
      <c r="BC11" s="15">
        <f t="shared" si="25"/>
        <v>83725641818.1198</v>
      </c>
      <c r="BD11" s="15">
        <f t="shared" si="26"/>
        <v>35807453778.6216</v>
      </c>
      <c r="BE11" s="15">
        <f t="shared" si="27"/>
        <v>755734616671.464</v>
      </c>
      <c r="BF11" s="11">
        <f t="shared" si="29"/>
        <v>8.75267712268205</v>
      </c>
    </row>
    <row r="12" spans="1:70">
      <c r="A12" s="2">
        <v>2028</v>
      </c>
      <c r="B12" s="2">
        <v>30337</v>
      </c>
      <c r="C12" s="7">
        <f t="shared" si="1"/>
        <v>0.266837869996607</v>
      </c>
      <c r="D12" s="8">
        <v>0.196592723750158</v>
      </c>
      <c r="E12" s="8">
        <v>0.0702451462464487</v>
      </c>
      <c r="F12" s="9">
        <v>0.733162130003393</v>
      </c>
      <c r="G12" s="2">
        <v>355083</v>
      </c>
      <c r="H12" s="4">
        <f t="shared" si="2"/>
        <v>43186.7966272484</v>
      </c>
      <c r="I12" s="2">
        <v>32429.9416267001</v>
      </c>
      <c r="J12" s="2">
        <v>10756.8550005483</v>
      </c>
      <c r="K12" s="2">
        <v>311896.164483548</v>
      </c>
      <c r="L12" s="17">
        <v>8095.06046208706</v>
      </c>
      <c r="M12" s="17">
        <v>478.114371553238</v>
      </c>
      <c r="N12" s="2">
        <v>5964.03346040854</v>
      </c>
      <c r="O12" s="2">
        <v>462.251586854793</v>
      </c>
      <c r="P12" s="4">
        <f t="shared" si="5"/>
        <v>5501.78187355375</v>
      </c>
      <c r="Q12" s="4">
        <f t="shared" si="6"/>
        <v>1498.89882867337</v>
      </c>
      <c r="R12" s="4">
        <f t="shared" si="7"/>
        <v>7000.68070222712</v>
      </c>
      <c r="S12" s="4">
        <f t="shared" si="8"/>
        <v>34391.0920422282</v>
      </c>
      <c r="T12" s="4">
        <f t="shared" si="9"/>
        <v>0.0140535349483567</v>
      </c>
      <c r="U12" s="24">
        <f t="shared" si="10"/>
        <v>0.11284</v>
      </c>
      <c r="V12" s="4">
        <f t="shared" si="11"/>
        <v>537.853838075197</v>
      </c>
      <c r="W12" s="4">
        <f t="shared" si="12"/>
        <v>33853.238204153</v>
      </c>
      <c r="X12" s="2">
        <v>2131.02700167852</v>
      </c>
      <c r="Y12" s="2">
        <v>15.8627846984309</v>
      </c>
      <c r="Z12" s="4">
        <f t="shared" si="13"/>
        <v>2115.16421698008</v>
      </c>
      <c r="AA12" s="4">
        <f t="shared" si="14"/>
        <v>535.576116044871</v>
      </c>
      <c r="AB12" s="4">
        <f t="shared" si="15"/>
        <v>2650.74033302495</v>
      </c>
      <c r="AC12" s="4">
        <f t="shared" si="16"/>
        <v>11308.2939012916</v>
      </c>
      <c r="AD12" s="4">
        <f t="shared" si="17"/>
        <v>0.00147249607895187</v>
      </c>
      <c r="AE12" s="24">
        <f t="shared" si="18"/>
        <v>0.11284</v>
      </c>
      <c r="AF12" s="4">
        <f t="shared" si="19"/>
        <v>18.530364484848</v>
      </c>
      <c r="AG12" s="4">
        <f t="shared" si="20"/>
        <v>11289.7635368068</v>
      </c>
      <c r="AH12" s="2">
        <v>22241.9395379129</v>
      </c>
      <c r="AI12" s="2">
        <v>19248.0325164067</v>
      </c>
      <c r="AJ12" s="24">
        <v>0.1314</v>
      </c>
      <c r="AK12" s="4">
        <f t="shared" si="21"/>
        <v>2922.59085528175</v>
      </c>
      <c r="AL12" s="4">
        <f t="shared" si="28"/>
        <v>25164.5303931947</v>
      </c>
      <c r="AM12" s="4">
        <f t="shared" si="22"/>
        <v>334066.787855237</v>
      </c>
      <c r="AN12" s="4">
        <f t="shared" si="23"/>
        <v>0.0581258336724208</v>
      </c>
      <c r="AO12" s="4">
        <v>0</v>
      </c>
      <c r="AP12" s="4">
        <f t="shared" si="3"/>
        <v>19417.9105463534</v>
      </c>
      <c r="AQ12" s="4">
        <f t="shared" si="4"/>
        <v>314648.877308883</v>
      </c>
      <c r="AR12" s="15">
        <v>0.1634</v>
      </c>
      <c r="AS12" s="4">
        <f t="shared" si="24"/>
        <v>4957.0658</v>
      </c>
      <c r="AT12" s="3">
        <f t="shared" si="0"/>
        <v>13026.96</v>
      </c>
      <c r="AU12" s="3">
        <v>11100</v>
      </c>
      <c r="AV12" s="23">
        <v>0.1736</v>
      </c>
      <c r="AW12" s="2">
        <v>46.10778</v>
      </c>
      <c r="AX12" s="3">
        <v>58.61044</v>
      </c>
      <c r="AY12" s="3">
        <v>39.97678</v>
      </c>
      <c r="AZ12" s="3">
        <v>49.32459</v>
      </c>
      <c r="BA12" s="3">
        <v>83.85118</v>
      </c>
      <c r="BB12" s="3">
        <v>168.74739</v>
      </c>
      <c r="BC12" s="15">
        <f t="shared" si="25"/>
        <v>88990885519.3588</v>
      </c>
      <c r="BD12" s="15">
        <f t="shared" si="26"/>
        <v>42690336055.9158</v>
      </c>
      <c r="BE12" s="15">
        <f t="shared" si="27"/>
        <v>756866045689.365</v>
      </c>
      <c r="BF12" s="11">
        <f t="shared" si="29"/>
        <v>8.88547267264639</v>
      </c>
    </row>
    <row r="13" spans="1:70">
      <c r="A13" s="2">
        <v>2029</v>
      </c>
      <c r="B13" s="2">
        <v>30767</v>
      </c>
      <c r="C13" s="7">
        <f t="shared" si="1"/>
        <v>0.290225747149396</v>
      </c>
      <c r="D13" s="8">
        <v>0.207531450925898</v>
      </c>
      <c r="E13" s="8">
        <v>0.0826942962234978</v>
      </c>
      <c r="F13" s="9">
        <v>0.709774252850604</v>
      </c>
      <c r="G13" s="2">
        <v>364714</v>
      </c>
      <c r="H13" s="4">
        <f t="shared" si="2"/>
        <v>51490.7117876278</v>
      </c>
      <c r="I13" s="2">
        <v>38222.9426280635</v>
      </c>
      <c r="J13" s="2">
        <v>13267.7691595642</v>
      </c>
      <c r="K13" s="2">
        <v>313224.082259062</v>
      </c>
      <c r="L13" s="17">
        <v>8929.37556254546</v>
      </c>
      <c r="M13" s="17">
        <v>625.460402166056</v>
      </c>
      <c r="N13" s="2">
        <v>6385.1201506371</v>
      </c>
      <c r="O13" s="2">
        <v>592.119149273611</v>
      </c>
      <c r="P13" s="4">
        <f t="shared" si="5"/>
        <v>5793.00100136349</v>
      </c>
      <c r="Q13" s="4">
        <f t="shared" si="6"/>
        <v>1543.02173607367</v>
      </c>
      <c r="R13" s="4">
        <f t="shared" si="7"/>
        <v>7336.02273743716</v>
      </c>
      <c r="S13" s="4">
        <f t="shared" si="8"/>
        <v>40358.0835134109</v>
      </c>
      <c r="T13" s="4">
        <f t="shared" si="9"/>
        <v>0.0152548810219679</v>
      </c>
      <c r="U13" s="24">
        <f t="shared" si="10"/>
        <v>0.11284</v>
      </c>
      <c r="V13" s="4">
        <f t="shared" si="11"/>
        <v>685.128584166469</v>
      </c>
      <c r="W13" s="4">
        <f t="shared" si="12"/>
        <v>39672.9549292444</v>
      </c>
      <c r="X13" s="2">
        <v>2544.25541190836</v>
      </c>
      <c r="Y13" s="2">
        <v>33.3412528924491</v>
      </c>
      <c r="Z13" s="4">
        <f t="shared" si="13"/>
        <v>2510.91415901591</v>
      </c>
      <c r="AA13" s="4">
        <f t="shared" si="14"/>
        <v>614.842212844805</v>
      </c>
      <c r="AB13" s="4">
        <f t="shared" si="15"/>
        <v>3125.75637186072</v>
      </c>
      <c r="AC13" s="4">
        <f t="shared" si="16"/>
        <v>13915.9526253015</v>
      </c>
      <c r="AD13" s="4">
        <f t="shared" si="17"/>
        <v>0.00250665184022716</v>
      </c>
      <c r="AE13" s="24">
        <f t="shared" si="18"/>
        <v>0.11284</v>
      </c>
      <c r="AF13" s="4">
        <f t="shared" si="19"/>
        <v>38.8185837180148</v>
      </c>
      <c r="AG13" s="4">
        <f t="shared" si="20"/>
        <v>13877.1340415834</v>
      </c>
      <c r="AH13" s="2">
        <v>21837.6244374545</v>
      </c>
      <c r="AI13" s="2">
        <v>20509.7066619407</v>
      </c>
      <c r="AJ13" s="24">
        <v>0.1314</v>
      </c>
      <c r="AK13" s="4">
        <f t="shared" si="21"/>
        <v>2869.46385108152</v>
      </c>
      <c r="AL13" s="4">
        <f t="shared" si="28"/>
        <v>24707.088288536</v>
      </c>
      <c r="AM13" s="4">
        <f t="shared" si="22"/>
        <v>336603.252772084</v>
      </c>
      <c r="AN13" s="4">
        <f t="shared" si="23"/>
        <v>0.0614552896434333</v>
      </c>
      <c r="AO13" s="4">
        <v>0</v>
      </c>
      <c r="AP13" s="4">
        <f t="shared" si="3"/>
        <v>20686.0503940302</v>
      </c>
      <c r="AQ13" s="4">
        <f t="shared" si="4"/>
        <v>315917.202378054</v>
      </c>
      <c r="AR13" s="15">
        <v>0.1634</v>
      </c>
      <c r="AS13" s="4">
        <f t="shared" si="24"/>
        <v>5027.3278</v>
      </c>
      <c r="AT13" s="3">
        <f t="shared" si="0"/>
        <v>13226.472</v>
      </c>
      <c r="AU13" s="3">
        <v>11270</v>
      </c>
      <c r="AV13" s="23">
        <v>0.1736</v>
      </c>
      <c r="AW13" s="2">
        <v>44.64271</v>
      </c>
      <c r="AX13" s="3">
        <v>57.04565</v>
      </c>
      <c r="AY13" s="3">
        <v>39.07243</v>
      </c>
      <c r="AZ13" s="3">
        <v>46.77702</v>
      </c>
      <c r="BA13" s="3">
        <v>80.2147</v>
      </c>
      <c r="BB13" s="3">
        <v>166.26447</v>
      </c>
      <c r="BC13" s="15">
        <f t="shared" si="25"/>
        <v>94764877027.1831</v>
      </c>
      <c r="BD13" s="15">
        <f t="shared" si="26"/>
        <v>50099392052.464</v>
      </c>
      <c r="BE13" s="15">
        <f t="shared" si="27"/>
        <v>755160954591.656</v>
      </c>
      <c r="BF13" s="11">
        <f t="shared" si="29"/>
        <v>9.00025223671303</v>
      </c>
    </row>
    <row r="14" spans="1:70">
      <c r="A14" s="2">
        <v>2030</v>
      </c>
      <c r="B14" s="2">
        <v>31057</v>
      </c>
      <c r="C14" s="7">
        <f t="shared" si="1"/>
        <v>0.319517234323311</v>
      </c>
      <c r="D14" s="8">
        <v>0.225845567788596</v>
      </c>
      <c r="E14" s="8">
        <v>0.0936716665347149</v>
      </c>
      <c r="F14" s="9">
        <v>0.680482765676689</v>
      </c>
      <c r="G14" s="2">
        <v>373443</v>
      </c>
      <c r="H14" s="4">
        <f t="shared" si="2"/>
        <v>60592.0177566786</v>
      </c>
      <c r="I14" s="2">
        <v>44478.7183957898</v>
      </c>
      <c r="J14" s="2">
        <v>16113.2993608888</v>
      </c>
      <c r="K14" s="2">
        <v>312850.810593583</v>
      </c>
      <c r="L14" s="17">
        <v>9923.24674637907</v>
      </c>
      <c r="M14" s="17">
        <v>821.940777328295</v>
      </c>
      <c r="N14" s="2">
        <v>7014.08579881043</v>
      </c>
      <c r="O14" s="2">
        <v>758.310031084213</v>
      </c>
      <c r="P14" s="4">
        <f t="shared" si="5"/>
        <v>6255.77576772622</v>
      </c>
      <c r="Q14" s="4">
        <f t="shared" si="6"/>
        <v>1624.11922762632</v>
      </c>
      <c r="R14" s="4">
        <f t="shared" si="7"/>
        <v>7879.89499535254</v>
      </c>
      <c r="S14" s="4">
        <f t="shared" si="8"/>
        <v>46861.1476545003</v>
      </c>
      <c r="T14" s="4">
        <f t="shared" si="9"/>
        <v>0.0167630381007459</v>
      </c>
      <c r="U14" s="24">
        <f t="shared" si="10"/>
        <v>0.11284</v>
      </c>
      <c r="V14" s="4">
        <f t="shared" si="11"/>
        <v>874.174995948703</v>
      </c>
      <c r="W14" s="4">
        <f t="shared" si="12"/>
        <v>45986.9726585516</v>
      </c>
      <c r="X14" s="2">
        <v>2909.16094756864</v>
      </c>
      <c r="Y14" s="2">
        <v>63.6307462440818</v>
      </c>
      <c r="Z14" s="4">
        <f t="shared" si="13"/>
        <v>2845.53020132456</v>
      </c>
      <c r="AA14" s="4">
        <f t="shared" si="14"/>
        <v>673.619394847888</v>
      </c>
      <c r="AB14" s="4">
        <f t="shared" si="15"/>
        <v>3519.14959617245</v>
      </c>
      <c r="AC14" s="4">
        <f t="shared" si="16"/>
        <v>16850.5495019807</v>
      </c>
      <c r="AD14" s="4">
        <f t="shared" si="17"/>
        <v>0.00393342530521444</v>
      </c>
      <c r="AE14" s="24">
        <f t="shared" si="18"/>
        <v>0.11284</v>
      </c>
      <c r="AF14" s="4">
        <f t="shared" si="19"/>
        <v>73.7594556508269</v>
      </c>
      <c r="AG14" s="4">
        <f t="shared" si="20"/>
        <v>16776.7900463299</v>
      </c>
      <c r="AH14" s="2">
        <v>21133.7532536209</v>
      </c>
      <c r="AI14" s="2">
        <v>21507.0249190999</v>
      </c>
      <c r="AJ14" s="24">
        <v>0.1314</v>
      </c>
      <c r="AK14" s="4">
        <f t="shared" si="21"/>
        <v>2776.97517752579</v>
      </c>
      <c r="AL14" s="4">
        <f t="shared" si="28"/>
        <v>23910.7284311467</v>
      </c>
      <c r="AM14" s="4">
        <f t="shared" si="22"/>
        <v>337134.810690209</v>
      </c>
      <c r="AN14" s="4">
        <f t="shared" si="23"/>
        <v>0.0643233764392643</v>
      </c>
      <c r="AO14" s="4">
        <v>0</v>
      </c>
      <c r="AP14" s="4">
        <f t="shared" si="3"/>
        <v>21685.6493388064</v>
      </c>
      <c r="AQ14" s="4">
        <f t="shared" si="4"/>
        <v>315449.161351402</v>
      </c>
      <c r="AR14" s="15">
        <v>0.1634</v>
      </c>
      <c r="AS14" s="4">
        <f t="shared" si="24"/>
        <v>5074.7138</v>
      </c>
      <c r="AT14" s="3">
        <f t="shared" si="0"/>
        <v>13425.984</v>
      </c>
      <c r="AU14" s="3">
        <v>11440</v>
      </c>
      <c r="AV14" s="23">
        <v>0.1736</v>
      </c>
      <c r="AW14" s="2">
        <v>43.35601</v>
      </c>
      <c r="AX14" s="3">
        <v>55.63023</v>
      </c>
      <c r="AY14" s="3">
        <v>38.21938</v>
      </c>
      <c r="AZ14" s="3">
        <v>44.23442</v>
      </c>
      <c r="BA14" s="3">
        <v>76.79428</v>
      </c>
      <c r="BB14" s="3">
        <v>163.91616</v>
      </c>
      <c r="BC14" s="15">
        <f t="shared" si="25"/>
        <v>102735342463.14</v>
      </c>
      <c r="BD14" s="15">
        <f t="shared" si="26"/>
        <v>56723816184.4443</v>
      </c>
      <c r="BE14" s="15">
        <f t="shared" si="27"/>
        <v>748347753796.434</v>
      </c>
      <c r="BF14" s="11">
        <f t="shared" si="29"/>
        <v>9.07806912444019</v>
      </c>
    </row>
    <row r="15" spans="1:70">
      <c r="A15" s="2">
        <v>2031</v>
      </c>
      <c r="B15" s="2">
        <v>31116</v>
      </c>
      <c r="C15" s="7">
        <f t="shared" si="1"/>
        <v>0.317245734230146</v>
      </c>
      <c r="D15" s="8">
        <v>0.230191643657115</v>
      </c>
      <c r="E15" s="8">
        <v>0.0870540905730316</v>
      </c>
      <c r="F15" s="9">
        <v>0.682754265769854</v>
      </c>
      <c r="G15" s="2">
        <v>381268</v>
      </c>
      <c r="H15" s="4">
        <f t="shared" si="2"/>
        <v>69389.8780899168</v>
      </c>
      <c r="I15" s="2">
        <v>50698.9260064622</v>
      </c>
      <c r="J15" s="2">
        <v>18690.9520834546</v>
      </c>
      <c r="K15" s="2">
        <v>311878.533692855</v>
      </c>
      <c r="L15" s="17">
        <v>9871.41826630524</v>
      </c>
      <c r="M15" s="17">
        <v>1073.55793306702</v>
      </c>
      <c r="N15" s="2">
        <v>7162.64318403479</v>
      </c>
      <c r="O15" s="2">
        <v>942.435573362338</v>
      </c>
      <c r="P15" s="4">
        <f t="shared" si="5"/>
        <v>6220.20761067245</v>
      </c>
      <c r="Q15" s="4">
        <f t="shared" si="6"/>
        <v>1663.65410030621</v>
      </c>
      <c r="R15" s="4">
        <f t="shared" si="7"/>
        <v>7883.86171097866</v>
      </c>
      <c r="S15" s="4">
        <f t="shared" si="8"/>
        <v>53305.0156801308</v>
      </c>
      <c r="T15" s="4">
        <f t="shared" si="9"/>
        <v>0.0182496267435856</v>
      </c>
      <c r="U15" s="24">
        <f t="shared" si="10"/>
        <v>0.11284</v>
      </c>
      <c r="V15" s="4">
        <f t="shared" si="11"/>
        <v>1082.56701254975</v>
      </c>
      <c r="W15" s="4">
        <f t="shared" si="12"/>
        <v>52222.448667581</v>
      </c>
      <c r="X15" s="2">
        <v>2708.77508227045</v>
      </c>
      <c r="Y15" s="2">
        <v>131.122359704681</v>
      </c>
      <c r="Z15" s="4">
        <f t="shared" si="13"/>
        <v>2577.65272256577</v>
      </c>
      <c r="AA15" s="4">
        <f t="shared" si="14"/>
        <v>629.162259886298</v>
      </c>
      <c r="AB15" s="4">
        <f t="shared" si="15"/>
        <v>3206.81498245207</v>
      </c>
      <c r="AC15" s="4">
        <f t="shared" si="16"/>
        <v>19451.2367030455</v>
      </c>
      <c r="AD15" s="4">
        <f t="shared" si="17"/>
        <v>0.00696641382971134</v>
      </c>
      <c r="AE15" s="24">
        <f t="shared" si="18"/>
        <v>0.11284</v>
      </c>
      <c r="AF15" s="4">
        <f t="shared" si="19"/>
        <v>150.795789688944</v>
      </c>
      <c r="AG15" s="4">
        <f t="shared" si="20"/>
        <v>19300.4409133566</v>
      </c>
      <c r="AH15" s="2">
        <v>21244.5817336948</v>
      </c>
      <c r="AI15" s="2">
        <v>22216.858634423</v>
      </c>
      <c r="AJ15" s="24">
        <v>0.1314</v>
      </c>
      <c r="AK15" s="4">
        <f t="shared" si="21"/>
        <v>2791.5380398075</v>
      </c>
      <c r="AL15" s="4">
        <f t="shared" si="28"/>
        <v>24036.1197735023</v>
      </c>
      <c r="AM15" s="4">
        <f t="shared" si="22"/>
        <v>336886.930367085</v>
      </c>
      <c r="AN15" s="4">
        <f t="shared" si="23"/>
        <v>0.0664985484524716</v>
      </c>
      <c r="AO15" s="4">
        <v>0</v>
      </c>
      <c r="AP15" s="4">
        <f t="shared" si="3"/>
        <v>22402.49186202</v>
      </c>
      <c r="AQ15" s="4">
        <f t="shared" si="4"/>
        <v>314484.438505065</v>
      </c>
      <c r="AR15" s="15">
        <v>0.1634</v>
      </c>
      <c r="AS15" s="4">
        <f t="shared" si="24"/>
        <v>5084.3544</v>
      </c>
      <c r="AT15" s="3">
        <f t="shared" si="0"/>
        <v>13637.232</v>
      </c>
      <c r="AU15" s="3">
        <v>11620</v>
      </c>
      <c r="AV15" s="23">
        <v>0.1736</v>
      </c>
      <c r="AW15" s="2">
        <v>42.23781</v>
      </c>
      <c r="AX15" s="3">
        <v>54.23697</v>
      </c>
      <c r="AY15" s="3">
        <v>37.36846</v>
      </c>
      <c r="AZ15" s="3">
        <v>41.85855</v>
      </c>
      <c r="BA15" s="3">
        <v>73.47785</v>
      </c>
      <c r="BB15" s="3">
        <v>161.78325</v>
      </c>
      <c r="BC15" s="15">
        <f t="shared" si="25"/>
        <v>106070499514.311</v>
      </c>
      <c r="BD15" s="15">
        <f t="shared" si="26"/>
        <v>54918139996.48</v>
      </c>
      <c r="BE15" s="15">
        <f t="shared" si="27"/>
        <v>747761016513.966</v>
      </c>
      <c r="BF15" s="11">
        <f t="shared" si="29"/>
        <v>9.08749656024756</v>
      </c>
    </row>
    <row r="16" spans="1:70">
      <c r="A16" s="2">
        <v>2032</v>
      </c>
      <c r="B16" s="2">
        <v>31274</v>
      </c>
      <c r="C16" s="7">
        <f t="shared" si="1"/>
        <v>0.316312239196366</v>
      </c>
      <c r="D16" s="8">
        <v>0.239768601348979</v>
      </c>
      <c r="E16" s="8">
        <v>0.0765436378473863</v>
      </c>
      <c r="F16" s="9">
        <v>0.683687760803634</v>
      </c>
      <c r="G16" s="2">
        <v>388489</v>
      </c>
      <c r="H16" s="4">
        <f t="shared" si="2"/>
        <v>77903.8683247155</v>
      </c>
      <c r="I16" s="2">
        <v>57040.6383857745</v>
      </c>
      <c r="J16" s="2">
        <v>20863.229938941</v>
      </c>
      <c r="K16" s="2">
        <v>310585.41303932</v>
      </c>
      <c r="L16" s="17">
        <v>9892.34896862714</v>
      </c>
      <c r="M16" s="17">
        <v>1378.35873382838</v>
      </c>
      <c r="N16" s="2">
        <v>7498.52323858798</v>
      </c>
      <c r="O16" s="2">
        <v>1156.81085927568</v>
      </c>
      <c r="P16" s="4">
        <f t="shared" si="5"/>
        <v>6341.7123793123</v>
      </c>
      <c r="Q16" s="4">
        <f t="shared" si="6"/>
        <v>1743.9005126622</v>
      </c>
      <c r="R16" s="4">
        <f t="shared" si="7"/>
        <v>8085.6128919745</v>
      </c>
      <c r="S16" s="4">
        <f t="shared" si="8"/>
        <v>59941.3497577124</v>
      </c>
      <c r="T16" s="4">
        <f t="shared" si="9"/>
        <v>0.0198773464177911</v>
      </c>
      <c r="U16" s="24">
        <f t="shared" si="10"/>
        <v>0.11284</v>
      </c>
      <c r="V16" s="4">
        <f t="shared" si="11"/>
        <v>1325.9210099371</v>
      </c>
      <c r="W16" s="4">
        <f t="shared" si="12"/>
        <v>58615.4287477753</v>
      </c>
      <c r="X16" s="2">
        <v>2393.82573003916</v>
      </c>
      <c r="Y16" s="2">
        <v>221.547874552703</v>
      </c>
      <c r="Z16" s="4">
        <f t="shared" si="13"/>
        <v>2172.27785548645</v>
      </c>
      <c r="AA16" s="4">
        <f t="shared" si="14"/>
        <v>556.722141815401</v>
      </c>
      <c r="AB16" s="4">
        <f t="shared" si="15"/>
        <v>2728.99999730185</v>
      </c>
      <c r="AC16" s="4">
        <f t="shared" si="16"/>
        <v>21641.4999553092</v>
      </c>
      <c r="AD16" s="4">
        <f t="shared" si="17"/>
        <v>0.0105074796856962</v>
      </c>
      <c r="AE16" s="24">
        <f t="shared" si="18"/>
        <v>0.11284</v>
      </c>
      <c r="AF16" s="4">
        <f t="shared" si="19"/>
        <v>253.057168718792</v>
      </c>
      <c r="AG16" s="4">
        <f t="shared" si="20"/>
        <v>21388.4427865904</v>
      </c>
      <c r="AH16" s="2">
        <v>21381.6510313729</v>
      </c>
      <c r="AI16" s="2">
        <v>22674.7716849082</v>
      </c>
      <c r="AJ16" s="24">
        <v>0.1314</v>
      </c>
      <c r="AK16" s="4">
        <f t="shared" si="21"/>
        <v>2809.5489455224</v>
      </c>
      <c r="AL16" s="4">
        <f t="shared" si="28"/>
        <v>24191.1999768953</v>
      </c>
      <c r="AM16" s="4">
        <f t="shared" si="22"/>
        <v>336069.73366975</v>
      </c>
      <c r="AN16" s="4">
        <f t="shared" si="23"/>
        <v>0.0680392459833494</v>
      </c>
      <c r="AO16" s="4">
        <v>0</v>
      </c>
      <c r="AP16" s="4">
        <f t="shared" si="3"/>
        <v>22865.9312767149</v>
      </c>
      <c r="AQ16" s="4">
        <f t="shared" si="4"/>
        <v>313203.802393035</v>
      </c>
      <c r="AR16" s="15">
        <v>0.1634</v>
      </c>
      <c r="AS16" s="4">
        <f t="shared" si="24"/>
        <v>5110.1716</v>
      </c>
      <c r="AT16" s="3">
        <f t="shared" si="0"/>
        <v>13825.008</v>
      </c>
      <c r="AU16" s="3">
        <v>11780</v>
      </c>
      <c r="AV16" s="23">
        <v>0.1736</v>
      </c>
      <c r="AW16" s="2">
        <v>41.22378</v>
      </c>
      <c r="AX16" s="3">
        <v>52.92477</v>
      </c>
      <c r="AY16" s="3">
        <v>36.47878</v>
      </c>
      <c r="AZ16" s="3">
        <v>39.57171</v>
      </c>
      <c r="BA16" s="3">
        <v>70.16159</v>
      </c>
      <c r="BB16" s="3">
        <v>159.80693</v>
      </c>
      <c r="BC16" s="15">
        <f t="shared" si="25"/>
        <v>111078788064.839</v>
      </c>
      <c r="BD16" s="15">
        <f t="shared" si="26"/>
        <v>50697999438.7457</v>
      </c>
      <c r="BE16" s="15">
        <f t="shared" si="27"/>
        <v>745545834226.168</v>
      </c>
      <c r="BF16" s="11">
        <f t="shared" si="29"/>
        <v>9.07322621729753</v>
      </c>
    </row>
    <row r="17" spans="1:58">
      <c r="A17" s="2">
        <v>2033</v>
      </c>
      <c r="B17" s="2">
        <v>31474</v>
      </c>
      <c r="C17" s="7">
        <f t="shared" si="1"/>
        <v>0.316550164311839</v>
      </c>
      <c r="D17" s="8">
        <v>0.242591323810351</v>
      </c>
      <c r="E17" s="8">
        <v>0.0739588405014883</v>
      </c>
      <c r="F17" s="9">
        <v>0.683449835688161</v>
      </c>
      <c r="G17" s="2">
        <v>395263</v>
      </c>
      <c r="H17" s="4">
        <f t="shared" si="2"/>
        <v>86123.8370774815</v>
      </c>
      <c r="I17" s="2">
        <v>63251.0217180025</v>
      </c>
      <c r="J17" s="2">
        <v>22872.815359479</v>
      </c>
      <c r="K17" s="2">
        <v>309139.712660884</v>
      </c>
      <c r="L17" s="17">
        <v>9963.09987155082</v>
      </c>
      <c r="M17" s="17">
        <v>1743.13111878482</v>
      </c>
      <c r="N17" s="2">
        <v>7635.31932560698</v>
      </c>
      <c r="O17" s="2">
        <v>1424.93599337899</v>
      </c>
      <c r="P17" s="4">
        <f t="shared" si="5"/>
        <v>6210.38333222799</v>
      </c>
      <c r="Q17" s="4">
        <f t="shared" si="6"/>
        <v>1775.13403660739</v>
      </c>
      <c r="R17" s="4">
        <f t="shared" si="7"/>
        <v>7985.51736883538</v>
      </c>
      <c r="S17" s="4">
        <f t="shared" si="8"/>
        <v>66451.0917479889</v>
      </c>
      <c r="T17" s="4">
        <f t="shared" si="9"/>
        <v>0.0220319272230619</v>
      </c>
      <c r="U17" s="24">
        <f t="shared" si="10"/>
        <v>0.11284</v>
      </c>
      <c r="V17" s="4">
        <f t="shared" si="11"/>
        <v>1629.24852473911</v>
      </c>
      <c r="W17" s="4">
        <f t="shared" si="12"/>
        <v>64821.8432232498</v>
      </c>
      <c r="X17" s="2">
        <v>2327.78054594384</v>
      </c>
      <c r="Y17" s="2">
        <v>318.195125405826</v>
      </c>
      <c r="Z17" s="4">
        <f t="shared" si="13"/>
        <v>2009.58542053802</v>
      </c>
      <c r="AA17" s="4">
        <f t="shared" si="14"/>
        <v>541.185286514386</v>
      </c>
      <c r="AB17" s="4">
        <f t="shared" si="15"/>
        <v>2550.77070705241</v>
      </c>
      <c r="AC17" s="4">
        <f t="shared" si="16"/>
        <v>23732.1957713992</v>
      </c>
      <c r="AD17" s="4">
        <f t="shared" si="17"/>
        <v>0.0137206235844365</v>
      </c>
      <c r="AE17" s="24">
        <f t="shared" si="18"/>
        <v>0.11284</v>
      </c>
      <c r="AF17" s="4">
        <f t="shared" si="19"/>
        <v>362.363545053825</v>
      </c>
      <c r="AG17" s="4">
        <f t="shared" si="20"/>
        <v>23369.8322263454</v>
      </c>
      <c r="AH17" s="2">
        <v>21510.9001284492</v>
      </c>
      <c r="AI17" s="2">
        <v>22956.6005068843</v>
      </c>
      <c r="AJ17" s="24">
        <v>0.1314</v>
      </c>
      <c r="AK17" s="4">
        <f t="shared" si="21"/>
        <v>2826.53227687822</v>
      </c>
      <c r="AL17" s="4">
        <f t="shared" si="28"/>
        <v>24337.4324053274</v>
      </c>
      <c r="AM17" s="4">
        <f t="shared" si="22"/>
        <v>334922.845444647</v>
      </c>
      <c r="AN17" s="4">
        <f t="shared" si="23"/>
        <v>0.0691263335262835</v>
      </c>
      <c r="AO17" s="4">
        <v>0</v>
      </c>
      <c r="AP17" s="4">
        <f t="shared" si="3"/>
        <v>23151.9883197786</v>
      </c>
      <c r="AQ17" s="4">
        <f t="shared" si="4"/>
        <v>311770.857124869</v>
      </c>
      <c r="AR17" s="15">
        <v>0.1634</v>
      </c>
      <c r="AS17" s="4">
        <f t="shared" si="24"/>
        <v>5142.8516</v>
      </c>
      <c r="AT17" s="3">
        <f t="shared" si="0"/>
        <v>14012.784</v>
      </c>
      <c r="AU17" s="3">
        <v>11940</v>
      </c>
      <c r="AV17" s="23">
        <v>0.1736</v>
      </c>
      <c r="AW17" s="2">
        <v>40.30177</v>
      </c>
      <c r="AX17" s="3">
        <v>51.63254</v>
      </c>
      <c r="AY17" s="3">
        <v>35.6325</v>
      </c>
      <c r="AZ17" s="3">
        <v>37.37876</v>
      </c>
      <c r="BA17" s="3">
        <v>67.0741</v>
      </c>
      <c r="BB17" s="3">
        <v>157.92497</v>
      </c>
      <c r="BC17" s="15">
        <f t="shared" si="25"/>
        <v>113669307980.591</v>
      </c>
      <c r="BD17" s="15">
        <f t="shared" si="26"/>
        <v>49648022687.4845</v>
      </c>
      <c r="BE17" s="15">
        <f t="shared" si="27"/>
        <v>743198812533.076</v>
      </c>
      <c r="BF17" s="11">
        <f t="shared" si="29"/>
        <v>9.06516143201151</v>
      </c>
    </row>
    <row r="18" spans="1:58">
      <c r="A18" s="2">
        <v>2034</v>
      </c>
      <c r="B18" s="2">
        <v>31657</v>
      </c>
      <c r="C18" s="7">
        <f t="shared" si="1"/>
        <v>0.317654298463266</v>
      </c>
      <c r="D18" s="8">
        <v>0.250406521756049</v>
      </c>
      <c r="E18" s="8">
        <v>0.0672477767072169</v>
      </c>
      <c r="F18" s="9">
        <v>0.682345701536734</v>
      </c>
      <c r="G18" s="2">
        <v>401608</v>
      </c>
      <c r="H18" s="4">
        <f t="shared" si="2"/>
        <v>93985.8564678595</v>
      </c>
      <c r="I18" s="2">
        <v>69423.0106726824</v>
      </c>
      <c r="J18" s="2">
        <v>24562.8457951771</v>
      </c>
      <c r="K18" s="2">
        <v>307622.509156122</v>
      </c>
      <c r="L18" s="17">
        <v>10055.9821264516</v>
      </c>
      <c r="M18" s="17">
        <v>2193.96273607369</v>
      </c>
      <c r="N18" s="2">
        <v>7927.11925923125</v>
      </c>
      <c r="O18" s="2">
        <v>1755.13030455135</v>
      </c>
      <c r="P18" s="4">
        <f t="shared" si="5"/>
        <v>6171.9889546799</v>
      </c>
      <c r="Q18" s="4">
        <f t="shared" si="6"/>
        <v>1840.18913630196</v>
      </c>
      <c r="R18" s="4">
        <f t="shared" si="7"/>
        <v>8012.17809098186</v>
      </c>
      <c r="S18" s="4">
        <f t="shared" si="8"/>
        <v>73018.3301135357</v>
      </c>
      <c r="T18" s="4">
        <f t="shared" si="9"/>
        <v>0.0246582768312638</v>
      </c>
      <c r="U18" s="24">
        <f t="shared" si="10"/>
        <v>0.11284</v>
      </c>
      <c r="V18" s="4">
        <f t="shared" si="11"/>
        <v>2003.67531704421</v>
      </c>
      <c r="W18" s="4">
        <f t="shared" si="12"/>
        <v>71014.6547964915</v>
      </c>
      <c r="X18" s="2">
        <v>2128.86286722036</v>
      </c>
      <c r="Y18" s="2">
        <v>438.832431522347</v>
      </c>
      <c r="Z18" s="4">
        <f t="shared" si="13"/>
        <v>1690.03043569802</v>
      </c>
      <c r="AA18" s="4">
        <f t="shared" si="14"/>
        <v>494.19091511378</v>
      </c>
      <c r="AB18" s="4">
        <f t="shared" si="15"/>
        <v>2184.2213508118</v>
      </c>
      <c r="AC18" s="4">
        <f t="shared" si="16"/>
        <v>25495.8691418131</v>
      </c>
      <c r="AD18" s="4">
        <f t="shared" si="17"/>
        <v>0.0175521190035042</v>
      </c>
      <c r="AE18" s="24">
        <f t="shared" si="18"/>
        <v>0.11284</v>
      </c>
      <c r="AF18" s="4">
        <f t="shared" si="19"/>
        <v>498.003166038252</v>
      </c>
      <c r="AG18" s="4">
        <f t="shared" si="20"/>
        <v>24997.8659757749</v>
      </c>
      <c r="AH18" s="2">
        <v>21601.0178735484</v>
      </c>
      <c r="AI18" s="2">
        <v>23118.2213783107</v>
      </c>
      <c r="AJ18" s="24">
        <v>0.1314</v>
      </c>
      <c r="AK18" s="4">
        <f t="shared" si="21"/>
        <v>2838.37374858426</v>
      </c>
      <c r="AL18" s="4">
        <f t="shared" si="28"/>
        <v>24439.3916221327</v>
      </c>
      <c r="AM18" s="4">
        <f t="shared" si="22"/>
        <v>333579.104283017</v>
      </c>
      <c r="AN18" s="4">
        <f t="shared" si="23"/>
        <v>0.0698983198741647</v>
      </c>
      <c r="AO18" s="4">
        <v>0</v>
      </c>
      <c r="AP18" s="4">
        <f t="shared" si="3"/>
        <v>23316.6189345116</v>
      </c>
      <c r="AQ18" s="4">
        <f t="shared" si="4"/>
        <v>310262.485348505</v>
      </c>
      <c r="AR18" s="15">
        <v>0.1634</v>
      </c>
      <c r="AS18" s="4">
        <f t="shared" si="24"/>
        <v>5172.7538</v>
      </c>
      <c r="AT18" s="3">
        <f t="shared" si="0"/>
        <v>14200.56</v>
      </c>
      <c r="AU18" s="3">
        <v>12100</v>
      </c>
      <c r="AV18" s="23">
        <v>0.1736</v>
      </c>
      <c r="AW18" s="2">
        <v>39.42017</v>
      </c>
      <c r="AX18" s="3">
        <v>50.4176</v>
      </c>
      <c r="AY18" s="3">
        <v>34.79038</v>
      </c>
      <c r="AZ18" s="3">
        <v>35.36361</v>
      </c>
      <c r="BA18" s="3">
        <v>64.11057</v>
      </c>
      <c r="BB18" s="3">
        <v>156.22634</v>
      </c>
      <c r="BC18" s="15">
        <f t="shared" si="25"/>
        <v>117676759218</v>
      </c>
      <c r="BD18" s="15">
        <f t="shared" si="26"/>
        <v>46215373358.6311</v>
      </c>
      <c r="BE18" s="15">
        <f t="shared" si="27"/>
        <v>740822601008.897</v>
      </c>
      <c r="BF18" s="11">
        <f t="shared" si="29"/>
        <v>9.04714733585528</v>
      </c>
    </row>
    <row r="19" spans="1:58">
      <c r="A19" s="2">
        <v>2035</v>
      </c>
      <c r="B19" s="2">
        <v>31591</v>
      </c>
      <c r="C19" s="7">
        <f t="shared" si="1"/>
        <v>0.318632223552804</v>
      </c>
      <c r="D19" s="8">
        <v>0.257533354958395</v>
      </c>
      <c r="E19" s="8">
        <v>0.0610988685944089</v>
      </c>
      <c r="F19" s="9">
        <v>0.681367776447196</v>
      </c>
      <c r="G19" s="2">
        <v>407260</v>
      </c>
      <c r="H19" s="4">
        <f t="shared" si="2"/>
        <v>101307.497986155</v>
      </c>
      <c r="I19" s="2">
        <v>75393.969747526</v>
      </c>
      <c r="J19" s="2">
        <v>25913.5282386288</v>
      </c>
      <c r="K19" s="2">
        <v>305953.427966065</v>
      </c>
      <c r="L19" s="17">
        <v>10065.9105742566</v>
      </c>
      <c r="M19" s="17">
        <v>2744.26905596128</v>
      </c>
      <c r="N19" s="2">
        <v>8135.73621649064</v>
      </c>
      <c r="O19" s="2">
        <v>2164.77714164702</v>
      </c>
      <c r="P19" s="4">
        <f t="shared" si="5"/>
        <v>5970.95907484362</v>
      </c>
      <c r="Q19" s="4">
        <f t="shared" si="6"/>
        <v>1886.10174687589</v>
      </c>
      <c r="R19" s="4">
        <f t="shared" si="7"/>
        <v>7857.06082171951</v>
      </c>
      <c r="S19" s="4">
        <f t="shared" si="8"/>
        <v>79444.8486360489</v>
      </c>
      <c r="T19" s="4">
        <f t="shared" si="9"/>
        <v>0.0279114507192897</v>
      </c>
      <c r="U19" s="24">
        <f t="shared" si="10"/>
        <v>0.11284</v>
      </c>
      <c r="V19" s="4">
        <f t="shared" si="11"/>
        <v>2467.63476071963</v>
      </c>
      <c r="W19" s="4">
        <f t="shared" si="12"/>
        <v>76977.2138753293</v>
      </c>
      <c r="X19" s="2">
        <v>1930.17435776597</v>
      </c>
      <c r="Y19" s="2">
        <v>579.491914314243</v>
      </c>
      <c r="Z19" s="4">
        <f t="shared" si="13"/>
        <v>1350.68244345173</v>
      </c>
      <c r="AA19" s="4">
        <f t="shared" si="14"/>
        <v>447.470902581424</v>
      </c>
      <c r="AB19" s="4">
        <f t="shared" si="15"/>
        <v>1798.15334603315</v>
      </c>
      <c r="AC19" s="4">
        <f t="shared" si="16"/>
        <v>26940.4910555245</v>
      </c>
      <c r="AD19" s="4">
        <f t="shared" si="17"/>
        <v>0.0218733806477654</v>
      </c>
      <c r="AE19" s="24">
        <f t="shared" si="18"/>
        <v>0.11284</v>
      </c>
      <c r="AF19" s="4">
        <f t="shared" si="19"/>
        <v>655.773927530254</v>
      </c>
      <c r="AG19" s="4">
        <f t="shared" si="20"/>
        <v>26284.7171279942</v>
      </c>
      <c r="AH19" s="2">
        <v>21525.0894257434</v>
      </c>
      <c r="AI19" s="2">
        <v>23194.1706158004</v>
      </c>
      <c r="AJ19" s="24">
        <v>0.1314</v>
      </c>
      <c r="AK19" s="4">
        <f t="shared" si="21"/>
        <v>2828.39675054268</v>
      </c>
      <c r="AL19" s="4">
        <f t="shared" si="28"/>
        <v>24353.4861762861</v>
      </c>
      <c r="AM19" s="4">
        <f t="shared" si="22"/>
        <v>331975.995332408</v>
      </c>
      <c r="AN19" s="4">
        <f t="shared" si="23"/>
        <v>0.0704673851965886</v>
      </c>
      <c r="AO19" s="4">
        <v>0</v>
      </c>
      <c r="AP19" s="4">
        <f t="shared" si="3"/>
        <v>23393.4803391097</v>
      </c>
      <c r="AQ19" s="4">
        <f t="shared" si="4"/>
        <v>308582.514993298</v>
      </c>
      <c r="AR19" s="15">
        <v>0.1634</v>
      </c>
      <c r="AS19" s="4">
        <f t="shared" si="24"/>
        <v>5161.9694</v>
      </c>
      <c r="AT19" s="3">
        <f t="shared" si="0"/>
        <v>14376.6</v>
      </c>
      <c r="AU19" s="3">
        <v>12250</v>
      </c>
      <c r="AV19" s="23">
        <v>0.1736</v>
      </c>
      <c r="AW19" s="2">
        <v>38.65368</v>
      </c>
      <c r="AX19" s="3">
        <v>49.22072</v>
      </c>
      <c r="AY19" s="3">
        <v>33.95363</v>
      </c>
      <c r="AZ19" s="3">
        <v>33.36757</v>
      </c>
      <c r="BA19" s="3">
        <v>61.38404</v>
      </c>
      <c r="BB19" s="3">
        <v>154.63978</v>
      </c>
      <c r="BC19" s="15">
        <f t="shared" si="25"/>
        <v>120465216656.058</v>
      </c>
      <c r="BD19" s="15">
        <f t="shared" si="26"/>
        <v>42282416786.2706</v>
      </c>
      <c r="BE19" s="15">
        <f t="shared" si="27"/>
        <v>736500271134.328</v>
      </c>
      <c r="BF19" s="11">
        <f t="shared" si="29"/>
        <v>8.99247904576656</v>
      </c>
    </row>
    <row r="20" spans="1:58">
      <c r="A20" s="2">
        <v>2036</v>
      </c>
      <c r="B20" s="2">
        <v>31484</v>
      </c>
      <c r="C20" s="7">
        <f t="shared" si="1"/>
        <v>0.317851862165086</v>
      </c>
      <c r="D20" s="8">
        <v>0.25945298034334</v>
      </c>
      <c r="E20" s="8">
        <v>0.0583988818217463</v>
      </c>
      <c r="F20" s="9">
        <v>0.682148137834914</v>
      </c>
      <c r="G20" s="2">
        <v>412157</v>
      </c>
      <c r="H20" s="4">
        <f t="shared" si="2"/>
        <v>107948.745657663</v>
      </c>
      <c r="I20" s="2">
        <v>80932.8211950315</v>
      </c>
      <c r="J20" s="2">
        <v>27015.9244626316</v>
      </c>
      <c r="K20" s="2">
        <v>304209.300002787</v>
      </c>
      <c r="L20" s="17">
        <v>10007.2480284056</v>
      </c>
      <c r="M20" s="17">
        <v>3366.00035689723</v>
      </c>
      <c r="N20" s="2">
        <v>8168.61763312971</v>
      </c>
      <c r="O20" s="2">
        <v>2629.7661856242</v>
      </c>
      <c r="P20" s="4">
        <f t="shared" si="5"/>
        <v>5538.8514475055</v>
      </c>
      <c r="Q20" s="4">
        <f t="shared" si="6"/>
        <v>1895.73871611999</v>
      </c>
      <c r="R20" s="4">
        <f t="shared" si="7"/>
        <v>7434.59016362549</v>
      </c>
      <c r="S20" s="4">
        <f t="shared" si="8"/>
        <v>85458.3260967757</v>
      </c>
      <c r="T20" s="4">
        <f t="shared" si="9"/>
        <v>0.0314706170315758</v>
      </c>
      <c r="U20" s="24">
        <f t="shared" si="10"/>
        <v>0.11284</v>
      </c>
      <c r="V20" s="4">
        <f t="shared" si="11"/>
        <v>2992.90111111159</v>
      </c>
      <c r="W20" s="4">
        <f t="shared" si="12"/>
        <v>82465.4249856641</v>
      </c>
      <c r="X20" s="2">
        <v>1838.63039527586</v>
      </c>
      <c r="Y20" s="2">
        <v>736.23417127303</v>
      </c>
      <c r="Z20" s="4">
        <f t="shared" si="13"/>
        <v>1102.39622400283</v>
      </c>
      <c r="AA20" s="4">
        <f t="shared" si="14"/>
        <v>426.701674812509</v>
      </c>
      <c r="AB20" s="4">
        <f t="shared" si="15"/>
        <v>1529.09789881534</v>
      </c>
      <c r="AC20" s="4">
        <f t="shared" si="16"/>
        <v>28178.8603087172</v>
      </c>
      <c r="AD20" s="4">
        <f t="shared" si="17"/>
        <v>0.026528897480918</v>
      </c>
      <c r="AE20" s="24">
        <f t="shared" si="18"/>
        <v>0.11284</v>
      </c>
      <c r="AF20" s="4">
        <f t="shared" si="19"/>
        <v>831.90810048094</v>
      </c>
      <c r="AG20" s="4">
        <f t="shared" si="20"/>
        <v>27346.9522082362</v>
      </c>
      <c r="AH20" s="2">
        <v>21476.7519715944</v>
      </c>
      <c r="AI20" s="2">
        <v>23220.8799348724</v>
      </c>
      <c r="AJ20" s="24">
        <v>0.1314</v>
      </c>
      <c r="AK20" s="4">
        <f t="shared" si="21"/>
        <v>2822.0452090675</v>
      </c>
      <c r="AL20" s="4">
        <f t="shared" si="28"/>
        <v>24298.7971806619</v>
      </c>
      <c r="AM20" s="4">
        <f t="shared" si="22"/>
        <v>330252.225146727</v>
      </c>
      <c r="AN20" s="4">
        <f t="shared" si="23"/>
        <v>0.0709185693856734</v>
      </c>
      <c r="AO20" s="4">
        <v>0</v>
      </c>
      <c r="AP20" s="4">
        <f t="shared" si="3"/>
        <v>23421.0153438412</v>
      </c>
      <c r="AQ20" s="4">
        <f t="shared" si="4"/>
        <v>306831.209802886</v>
      </c>
      <c r="AR20" s="15">
        <v>0.1634</v>
      </c>
      <c r="AS20" s="4">
        <f t="shared" si="24"/>
        <v>5144.4856</v>
      </c>
      <c r="AT20" s="3">
        <f t="shared" si="0"/>
        <v>14552.64</v>
      </c>
      <c r="AU20" s="3">
        <v>12400</v>
      </c>
      <c r="AV20" s="23">
        <v>0.1736</v>
      </c>
      <c r="AW20" s="2">
        <v>37.91339</v>
      </c>
      <c r="AX20" s="3">
        <v>48.09758</v>
      </c>
      <c r="AY20" s="3">
        <v>33.08415</v>
      </c>
      <c r="AZ20" s="3">
        <v>31.47324</v>
      </c>
      <c r="BA20" s="3">
        <v>58.78709</v>
      </c>
      <c r="BB20" s="3">
        <v>153.17</v>
      </c>
      <c r="BC20" s="15">
        <f t="shared" si="25"/>
        <v>121064316210.701</v>
      </c>
      <c r="BD20" s="15">
        <f t="shared" si="26"/>
        <v>39449825768.7102</v>
      </c>
      <c r="BE20" s="15">
        <f t="shared" si="27"/>
        <v>732293310866.794</v>
      </c>
      <c r="BF20" s="11">
        <f t="shared" si="29"/>
        <v>8.92807452846205</v>
      </c>
    </row>
    <row r="21" spans="1:58">
      <c r="A21" s="2">
        <v>2037</v>
      </c>
      <c r="B21" s="2">
        <v>31388</v>
      </c>
      <c r="C21" s="7">
        <f t="shared" si="1"/>
        <v>0.317843532193353</v>
      </c>
      <c r="D21" s="8">
        <v>0.262208314768073</v>
      </c>
      <c r="E21" s="8">
        <v>0.0556352174252805</v>
      </c>
      <c r="F21" s="9">
        <v>0.682156467806647</v>
      </c>
      <c r="G21" s="2">
        <v>416303</v>
      </c>
      <c r="H21" s="4">
        <f t="shared" si="2"/>
        <v>113857.64656633</v>
      </c>
      <c r="I21" s="2">
        <v>86011.3440448509</v>
      </c>
      <c r="J21" s="2">
        <v>27846.3025214793</v>
      </c>
      <c r="K21" s="2">
        <v>302445.086558066</v>
      </c>
      <c r="L21" s="17">
        <v>9976.47278848498</v>
      </c>
      <c r="M21" s="17">
        <v>4067.57187981789</v>
      </c>
      <c r="N21" s="2">
        <v>8230.19458394027</v>
      </c>
      <c r="O21" s="2">
        <v>3151.67173412092</v>
      </c>
      <c r="P21" s="4">
        <f t="shared" si="5"/>
        <v>5078.52284981936</v>
      </c>
      <c r="Q21" s="4">
        <f t="shared" si="6"/>
        <v>1910.05095336222</v>
      </c>
      <c r="R21" s="4">
        <f t="shared" si="7"/>
        <v>6988.57380318158</v>
      </c>
      <c r="S21" s="4">
        <f t="shared" si="8"/>
        <v>91073.066732334</v>
      </c>
      <c r="T21" s="4">
        <f t="shared" si="9"/>
        <v>0.035347298502483</v>
      </c>
      <c r="U21" s="24">
        <f t="shared" si="10"/>
        <v>0.11284</v>
      </c>
      <c r="V21" s="4">
        <f t="shared" si="11"/>
        <v>3582.43992233597</v>
      </c>
      <c r="W21" s="4">
        <f t="shared" si="12"/>
        <v>87490.626809998</v>
      </c>
      <c r="X21" s="2">
        <v>1746.2782045447</v>
      </c>
      <c r="Y21" s="2">
        <v>915.900145696971</v>
      </c>
      <c r="Z21" s="4">
        <f t="shared" si="13"/>
        <v>830.378058847733</v>
      </c>
      <c r="AA21" s="4">
        <f t="shared" si="14"/>
        <v>405.273571044707</v>
      </c>
      <c r="AB21" s="4">
        <f t="shared" si="15"/>
        <v>1235.65162989244</v>
      </c>
      <c r="AC21" s="4">
        <f t="shared" si="16"/>
        <v>29167.476238221</v>
      </c>
      <c r="AD21" s="4">
        <f t="shared" si="17"/>
        <v>0.031843880536389</v>
      </c>
      <c r="AE21" s="24">
        <f t="shared" si="18"/>
        <v>0.11284</v>
      </c>
      <c r="AF21" s="4">
        <f t="shared" si="19"/>
        <v>1033.61205604045</v>
      </c>
      <c r="AG21" s="4">
        <f t="shared" si="20"/>
        <v>28133.8641821806</v>
      </c>
      <c r="AH21" s="2">
        <v>21411.527211515</v>
      </c>
      <c r="AI21" s="2">
        <v>23175.7406562357</v>
      </c>
      <c r="AJ21" s="24">
        <v>0.1314</v>
      </c>
      <c r="AK21" s="4">
        <f t="shared" si="21"/>
        <v>2813.47467559307</v>
      </c>
      <c r="AL21" s="4">
        <f t="shared" si="28"/>
        <v>24225.0018871081</v>
      </c>
      <c r="AM21" s="4">
        <f t="shared" si="22"/>
        <v>328434.301889895</v>
      </c>
      <c r="AN21" s="4">
        <f t="shared" si="23"/>
        <v>0.0711740119773819</v>
      </c>
      <c r="AO21" s="4">
        <v>0</v>
      </c>
      <c r="AP21" s="4">
        <f t="shared" si="3"/>
        <v>23375.9869364945</v>
      </c>
      <c r="AQ21" s="4">
        <f t="shared" si="4"/>
        <v>305058.314953401</v>
      </c>
      <c r="AR21" s="15">
        <v>0.1634</v>
      </c>
      <c r="AS21" s="4">
        <f t="shared" si="24"/>
        <v>5128.7992</v>
      </c>
      <c r="AT21" s="3">
        <f t="shared" si="0"/>
        <v>14716.944</v>
      </c>
      <c r="AU21" s="3">
        <v>12540</v>
      </c>
      <c r="AV21" s="23">
        <v>0.1736</v>
      </c>
      <c r="AW21" s="2">
        <v>37.23329</v>
      </c>
      <c r="AX21" s="3">
        <v>46.99072</v>
      </c>
      <c r="AY21" s="3">
        <v>32.26226</v>
      </c>
      <c r="AZ21" s="3">
        <v>29.60413</v>
      </c>
      <c r="BA21" s="3">
        <v>56.21468</v>
      </c>
      <c r="BB21" s="3">
        <v>151.81923</v>
      </c>
      <c r="BC21" s="15">
        <f t="shared" si="25"/>
        <v>121464890824.625</v>
      </c>
      <c r="BD21" s="15">
        <f t="shared" si="26"/>
        <v>36093284093.1661</v>
      </c>
      <c r="BE21" s="15">
        <f t="shared" si="27"/>
        <v>727784207250.612</v>
      </c>
      <c r="BF21" s="11">
        <f t="shared" si="29"/>
        <v>8.85342382168403</v>
      </c>
    </row>
    <row r="22" spans="1:58">
      <c r="A22" s="2">
        <v>2038</v>
      </c>
      <c r="B22" s="2">
        <v>31354</v>
      </c>
      <c r="C22" s="7">
        <f t="shared" si="1"/>
        <v>0.326731731264237</v>
      </c>
      <c r="D22" s="8">
        <v>0.267911710400075</v>
      </c>
      <c r="E22" s="8">
        <v>0.0588200208641614</v>
      </c>
      <c r="F22" s="9">
        <v>0.673268268735763</v>
      </c>
      <c r="G22" s="2">
        <v>419771</v>
      </c>
      <c r="H22" s="4">
        <f t="shared" si="2"/>
        <v>119281.408698359</v>
      </c>
      <c r="I22" s="2">
        <v>90699.0433046017</v>
      </c>
      <c r="J22" s="2">
        <v>28582.3653937573</v>
      </c>
      <c r="K22" s="2">
        <v>300489.858800894</v>
      </c>
      <c r="L22" s="17">
        <v>10244.3467020589</v>
      </c>
      <c r="M22" s="17">
        <v>4820.58457003007</v>
      </c>
      <c r="N22" s="2">
        <v>8400.10376788396</v>
      </c>
      <c r="O22" s="2">
        <v>3712.40450813313</v>
      </c>
      <c r="P22" s="4">
        <f t="shared" si="5"/>
        <v>4687.69925975083</v>
      </c>
      <c r="Q22" s="4">
        <f t="shared" si="6"/>
        <v>1926.47707909113</v>
      </c>
      <c r="R22" s="4">
        <f t="shared" si="7"/>
        <v>6614.17633884196</v>
      </c>
      <c r="S22" s="4">
        <f t="shared" si="8"/>
        <v>96337.924891826</v>
      </c>
      <c r="T22" s="4">
        <f t="shared" si="9"/>
        <v>0.0393215504490164</v>
      </c>
      <c r="U22" s="24">
        <f t="shared" si="10"/>
        <v>0.11284</v>
      </c>
      <c r="V22" s="4">
        <f t="shared" si="11"/>
        <v>4215.61216157367</v>
      </c>
      <c r="W22" s="4">
        <f t="shared" si="12"/>
        <v>92122.3127302523</v>
      </c>
      <c r="X22" s="2">
        <v>1844.24293417492</v>
      </c>
      <c r="Y22" s="2">
        <v>1108.18006189694</v>
      </c>
      <c r="Z22" s="4">
        <f t="shared" si="13"/>
        <v>736.062872277975</v>
      </c>
      <c r="AA22" s="4">
        <f t="shared" si="14"/>
        <v>422.95807755941</v>
      </c>
      <c r="AB22" s="4">
        <f t="shared" si="15"/>
        <v>1159.02094983738</v>
      </c>
      <c r="AC22" s="4">
        <f t="shared" si="16"/>
        <v>30113.5035332136</v>
      </c>
      <c r="AD22" s="4">
        <f t="shared" si="17"/>
        <v>0.0373243416343468</v>
      </c>
      <c r="AE22" s="24">
        <f t="shared" si="18"/>
        <v>0.11284</v>
      </c>
      <c r="AF22" s="4">
        <f t="shared" si="19"/>
        <v>1250.79509539571</v>
      </c>
      <c r="AG22" s="4">
        <f t="shared" si="20"/>
        <v>28862.7084378179</v>
      </c>
      <c r="AH22" s="2">
        <v>21109.6532979411</v>
      </c>
      <c r="AI22" s="2">
        <v>23064.8810551133</v>
      </c>
      <c r="AJ22" s="24">
        <v>0.1314</v>
      </c>
      <c r="AK22" s="4">
        <f t="shared" si="21"/>
        <v>2773.80844334946</v>
      </c>
      <c r="AL22" s="4">
        <f t="shared" si="28"/>
        <v>23883.4617412906</v>
      </c>
      <c r="AM22" s="4">
        <f t="shared" si="22"/>
        <v>326328.548299357</v>
      </c>
      <c r="AN22" s="4">
        <f t="shared" si="23"/>
        <v>0.0712858697893839</v>
      </c>
      <c r="AO22" s="4">
        <v>0</v>
      </c>
      <c r="AP22" s="4">
        <f t="shared" si="3"/>
        <v>23262.6144026266</v>
      </c>
      <c r="AQ22" s="4">
        <f t="shared" si="4"/>
        <v>303065.93389673</v>
      </c>
      <c r="AR22" s="15">
        <v>0.1634</v>
      </c>
      <c r="AS22" s="4">
        <f t="shared" si="24"/>
        <v>5123.2436</v>
      </c>
      <c r="AT22" s="3">
        <f t="shared" si="0"/>
        <v>14904.72</v>
      </c>
      <c r="AU22" s="3">
        <v>12700</v>
      </c>
      <c r="AV22" s="23">
        <v>0.1736</v>
      </c>
      <c r="AW22" s="2">
        <v>36.53469</v>
      </c>
      <c r="AX22" s="3">
        <v>45.90008</v>
      </c>
      <c r="AY22" s="3">
        <v>31.44949</v>
      </c>
      <c r="AZ22" s="3">
        <v>27.9161</v>
      </c>
      <c r="BA22" s="3">
        <v>53.88194</v>
      </c>
      <c r="BB22" s="3">
        <v>150.52056</v>
      </c>
      <c r="BC22" s="15">
        <f t="shared" si="25"/>
        <v>122678844669.148</v>
      </c>
      <c r="BD22" s="15">
        <f t="shared" si="26"/>
        <v>35073280925.8799</v>
      </c>
      <c r="BE22" s="15">
        <f t="shared" si="27"/>
        <v>722433079578.885</v>
      </c>
      <c r="BF22" s="11">
        <f t="shared" si="29"/>
        <v>8.80185205173913</v>
      </c>
    </row>
    <row r="23" spans="1:58">
      <c r="A23" s="2">
        <v>2039</v>
      </c>
      <c r="B23" s="2">
        <v>31390</v>
      </c>
      <c r="C23" s="7">
        <f t="shared" si="1"/>
        <v>0.356712645503289</v>
      </c>
      <c r="D23" s="8">
        <v>0.296357915905703</v>
      </c>
      <c r="E23" s="8">
        <v>0.0603547295975854</v>
      </c>
      <c r="F23" s="9">
        <v>0.643287354496711</v>
      </c>
      <c r="G23" s="2">
        <v>422668</v>
      </c>
      <c r="H23" s="4">
        <f t="shared" si="2"/>
        <v>124839.995464472</v>
      </c>
      <c r="I23" s="2">
        <v>95681.1336603316</v>
      </c>
      <c r="J23" s="2">
        <v>29158.8618041403</v>
      </c>
      <c r="K23" s="2">
        <v>297827.704529606</v>
      </c>
      <c r="L23" s="17">
        <v>11197.2099423482</v>
      </c>
      <c r="M23" s="17">
        <v>5638.62317623541</v>
      </c>
      <c r="N23" s="2">
        <v>9302.67498028003</v>
      </c>
      <c r="O23" s="2">
        <v>4320.58462455015</v>
      </c>
      <c r="P23" s="4">
        <f t="shared" si="5"/>
        <v>4982.09035572988</v>
      </c>
      <c r="Q23" s="4">
        <f t="shared" si="6"/>
        <v>2056.89643320239</v>
      </c>
      <c r="R23" s="4">
        <f t="shared" si="7"/>
        <v>7038.98678893227</v>
      </c>
      <c r="S23" s="4">
        <f t="shared" si="8"/>
        <v>102058.614718084</v>
      </c>
      <c r="T23" s="4">
        <f t="shared" si="9"/>
        <v>0.0432051038587337</v>
      </c>
      <c r="U23" s="24">
        <f t="shared" si="10"/>
        <v>0.11284</v>
      </c>
      <c r="V23" s="4">
        <f t="shared" si="11"/>
        <v>4907.01573057433</v>
      </c>
      <c r="W23" s="4">
        <f t="shared" si="12"/>
        <v>97151.5989875098</v>
      </c>
      <c r="X23" s="2">
        <v>1894.53496206821</v>
      </c>
      <c r="Y23" s="2">
        <v>1318.03855168526</v>
      </c>
      <c r="Z23" s="4">
        <f t="shared" si="13"/>
        <v>576.496410382944</v>
      </c>
      <c r="AA23" s="4">
        <f t="shared" si="14"/>
        <v>418.896953222161</v>
      </c>
      <c r="AB23" s="4">
        <f t="shared" si="15"/>
        <v>995.393363605104</v>
      </c>
      <c r="AC23" s="4">
        <f t="shared" si="16"/>
        <v>30895.7973090477</v>
      </c>
      <c r="AD23" s="4">
        <f t="shared" si="17"/>
        <v>0.0432471326249333</v>
      </c>
      <c r="AE23" s="24">
        <f t="shared" si="18"/>
        <v>0.11284</v>
      </c>
      <c r="AF23" s="4">
        <f t="shared" si="19"/>
        <v>1486.92633378129</v>
      </c>
      <c r="AG23" s="4">
        <f t="shared" si="20"/>
        <v>29408.8709752664</v>
      </c>
      <c r="AH23" s="2">
        <v>20192.7900576518</v>
      </c>
      <c r="AI23" s="2">
        <v>22854.9443289395</v>
      </c>
      <c r="AJ23" s="24">
        <v>0.1314</v>
      </c>
      <c r="AK23" s="4">
        <f t="shared" si="21"/>
        <v>2653.33261357545</v>
      </c>
      <c r="AL23" s="4">
        <f t="shared" si="28"/>
        <v>22846.1226712272</v>
      </c>
      <c r="AM23" s="4">
        <f t="shared" si="22"/>
        <v>323335.981472121</v>
      </c>
      <c r="AN23" s="4">
        <f t="shared" si="23"/>
        <v>0.0712696630462874</v>
      </c>
      <c r="AO23" s="4">
        <v>0</v>
      </c>
      <c r="AP23" s="4">
        <f t="shared" si="3"/>
        <v>23044.0464502587</v>
      </c>
      <c r="AQ23" s="4">
        <f t="shared" si="4"/>
        <v>300291.935021863</v>
      </c>
      <c r="AR23" s="15">
        <v>0.1634</v>
      </c>
      <c r="AS23" s="4">
        <f t="shared" si="24"/>
        <v>5129.126</v>
      </c>
      <c r="AT23" s="3">
        <f t="shared" si="0"/>
        <v>15069.024</v>
      </c>
      <c r="AU23" s="3">
        <v>12840</v>
      </c>
      <c r="AV23" s="23">
        <v>0.1736</v>
      </c>
      <c r="AW23" s="2">
        <v>35.88822</v>
      </c>
      <c r="AX23" s="3">
        <v>44.87896</v>
      </c>
      <c r="AY23" s="3">
        <v>30.64709</v>
      </c>
      <c r="AZ23" s="3">
        <v>26.33011</v>
      </c>
      <c r="BA23" s="3">
        <v>51.68099</v>
      </c>
      <c r="BB23" s="3">
        <v>149.34523</v>
      </c>
      <c r="BC23" s="15">
        <f t="shared" si="25"/>
        <v>130695668287.646</v>
      </c>
      <c r="BD23" s="15">
        <f t="shared" si="26"/>
        <v>33000602761.227</v>
      </c>
      <c r="BE23" s="15">
        <f t="shared" si="27"/>
        <v>710689836858.902</v>
      </c>
      <c r="BF23" s="11">
        <f t="shared" si="29"/>
        <v>8.74386107907775</v>
      </c>
    </row>
    <row r="24" spans="1:58">
      <c r="A24" s="2">
        <v>2040</v>
      </c>
      <c r="B24" s="2">
        <v>31159</v>
      </c>
      <c r="C24" s="7">
        <f t="shared" si="1"/>
        <v>0.385768622883877</v>
      </c>
      <c r="D24" s="8">
        <v>0.323993414060787</v>
      </c>
      <c r="E24" s="8">
        <v>0.0617752088230906</v>
      </c>
      <c r="F24" s="9">
        <v>0.614231377116123</v>
      </c>
      <c r="G24" s="2">
        <v>424773</v>
      </c>
      <c r="H24" s="4">
        <f t="shared" si="2"/>
        <v>130410.466471601</v>
      </c>
      <c r="I24" s="2">
        <v>100864.175661551</v>
      </c>
      <c r="J24" s="2">
        <v>29546.29081005</v>
      </c>
      <c r="K24" s="2">
        <v>294361.646253634</v>
      </c>
      <c r="L24" s="17">
        <v>12020.1645204387</v>
      </c>
      <c r="M24" s="17">
        <v>6449.69351330967</v>
      </c>
      <c r="N24" s="2">
        <v>10095.3107887201</v>
      </c>
      <c r="O24" s="2">
        <v>4912.2687875008</v>
      </c>
      <c r="P24" s="4">
        <f t="shared" si="5"/>
        <v>5183.04200121926</v>
      </c>
      <c r="Q24" s="4">
        <f t="shared" si="6"/>
        <v>2163.94276202836</v>
      </c>
      <c r="R24" s="4">
        <f t="shared" si="7"/>
        <v>7346.98476324762</v>
      </c>
      <c r="S24" s="4">
        <f t="shared" si="8"/>
        <v>107940.38721108</v>
      </c>
      <c r="T24" s="4">
        <f t="shared" si="9"/>
        <v>0.0464401012256263</v>
      </c>
      <c r="U24" s="24">
        <f t="shared" si="10"/>
        <v>0.11284</v>
      </c>
      <c r="V24" s="4">
        <f t="shared" si="11"/>
        <v>5578.4026298655</v>
      </c>
      <c r="W24" s="4">
        <f t="shared" si="12"/>
        <v>102361.984581215</v>
      </c>
      <c r="X24" s="2">
        <v>1924.85373171868</v>
      </c>
      <c r="Y24" s="2">
        <v>1537.42472580889</v>
      </c>
      <c r="Z24" s="4">
        <f t="shared" si="13"/>
        <v>387.429005909785</v>
      </c>
      <c r="AA24" s="4">
        <f t="shared" si="14"/>
        <v>412.59485595728</v>
      </c>
      <c r="AB24" s="4">
        <f t="shared" si="15"/>
        <v>800.023861867065</v>
      </c>
      <c r="AC24" s="4">
        <f t="shared" si="16"/>
        <v>31496.3103918163</v>
      </c>
      <c r="AD24" s="4">
        <f t="shared" si="17"/>
        <v>0.0494607771080418</v>
      </c>
      <c r="AE24" s="24">
        <f t="shared" si="18"/>
        <v>0.11284</v>
      </c>
      <c r="AF24" s="4">
        <f t="shared" si="19"/>
        <v>1733.61774954297</v>
      </c>
      <c r="AG24" s="4">
        <f t="shared" si="20"/>
        <v>29762.6926422733</v>
      </c>
      <c r="AH24" s="2">
        <v>19138.8354795613</v>
      </c>
      <c r="AI24" s="2">
        <v>22604.8937555335</v>
      </c>
      <c r="AJ24" s="24">
        <v>0.1314</v>
      </c>
      <c r="AK24" s="4">
        <f t="shared" si="21"/>
        <v>2514.84298201435</v>
      </c>
      <c r="AL24" s="4">
        <f t="shared" si="28"/>
        <v>21653.6784615757</v>
      </c>
      <c r="AM24" s="4">
        <f t="shared" si="22"/>
        <v>319481.382991182</v>
      </c>
      <c r="AN24" s="4">
        <f t="shared" si="23"/>
        <v>0.0713163406928684</v>
      </c>
      <c r="AO24" s="4">
        <v>0</v>
      </c>
      <c r="AP24" s="4">
        <f t="shared" si="3"/>
        <v>22784.2431544279</v>
      </c>
      <c r="AQ24" s="4">
        <f t="shared" si="4"/>
        <v>296697.139836754</v>
      </c>
      <c r="AR24" s="15">
        <v>0.1634</v>
      </c>
      <c r="AS24" s="4">
        <f t="shared" si="24"/>
        <v>5091.3806</v>
      </c>
      <c r="AT24" s="3">
        <f t="shared" si="0"/>
        <v>15245.064</v>
      </c>
      <c r="AU24" s="3">
        <v>12990</v>
      </c>
      <c r="AV24" s="23">
        <v>0.1736</v>
      </c>
      <c r="AW24" s="2">
        <v>35.28886</v>
      </c>
      <c r="AX24" s="3">
        <v>43.87239</v>
      </c>
      <c r="AY24" s="3">
        <v>29.85628</v>
      </c>
      <c r="AZ24" s="3">
        <v>24.77139</v>
      </c>
      <c r="BA24" s="3">
        <v>49.61097</v>
      </c>
      <c r="BB24" s="3">
        <v>148.29027</v>
      </c>
      <c r="BC24" s="15">
        <f t="shared" si="25"/>
        <v>137584795062.712</v>
      </c>
      <c r="BD24" s="15">
        <f t="shared" si="26"/>
        <v>30536479625.4328</v>
      </c>
      <c r="BE24" s="15">
        <f t="shared" si="27"/>
        <v>697495104937.097</v>
      </c>
      <c r="BF24" s="11">
        <f t="shared" si="29"/>
        <v>8.65616379625242</v>
      </c>
    </row>
    <row r="25" spans="1:58">
      <c r="A25" s="2">
        <v>2041</v>
      </c>
      <c r="B25" s="2">
        <v>31288</v>
      </c>
      <c r="F25" s="9"/>
      <c r="M25" s="17"/>
      <c r="U25" s="25"/>
      <c r="AT25" s="3">
        <f t="shared" si="0"/>
        <v>13140</v>
      </c>
      <c r="AU25" s="3">
        <v>13140</v>
      </c>
      <c r="AW25" s="2"/>
    </row>
    <row r="26" spans="1:58">
      <c r="A26" s="2">
        <v>2042</v>
      </c>
      <c r="B26" s="2">
        <v>31331</v>
      </c>
      <c r="F26" s="9"/>
      <c r="AT26" s="3">
        <f t="shared" si="0"/>
        <v>13270</v>
      </c>
      <c r="AU26" s="3">
        <v>13270</v>
      </c>
      <c r="AW26" s="2"/>
    </row>
    <row r="27" spans="1:58">
      <c r="A27" s="2">
        <v>2043</v>
      </c>
      <c r="B27" s="2">
        <v>31300</v>
      </c>
      <c r="F27" s="9"/>
      <c r="AT27" s="3">
        <f t="shared" si="0"/>
        <v>13390</v>
      </c>
      <c r="AU27" s="3">
        <v>13390</v>
      </c>
      <c r="AW27" s="2"/>
      <c r="BF27" s="3">
        <f>SUM(BF5:BF24)</f>
        <v>175.504556015185</v>
      </c>
    </row>
    <row r="28" spans="1:58">
      <c r="A28" s="2">
        <v>2044</v>
      </c>
      <c r="B28" s="2">
        <v>31233</v>
      </c>
      <c r="F28" s="9"/>
      <c r="AT28" s="3">
        <f t="shared" si="0"/>
        <v>13510</v>
      </c>
      <c r="AU28" s="3">
        <v>13510</v>
      </c>
      <c r="AW28" s="2"/>
    </row>
    <row r="29" spans="1:58">
      <c r="A29" s="2">
        <v>2045</v>
      </c>
      <c r="B29" s="2">
        <v>31117</v>
      </c>
      <c r="F29" s="9"/>
      <c r="O29" s="17"/>
      <c r="Q29" s="17"/>
      <c r="R29" s="17"/>
      <c r="S29" s="17"/>
      <c r="T29" s="17"/>
      <c r="U29" s="17"/>
      <c r="V29" s="17"/>
      <c r="W29" s="17"/>
      <c r="AA29" s="17"/>
      <c r="AB29" s="17"/>
      <c r="AC29" s="17"/>
      <c r="AD29" s="17"/>
      <c r="AE29" s="17"/>
      <c r="AF29" s="17"/>
      <c r="AG29" s="17"/>
      <c r="AJ29" s="17"/>
      <c r="AK29" s="17"/>
      <c r="AL29" s="17"/>
      <c r="AM29" s="17"/>
      <c r="AN29" s="17"/>
      <c r="AO29" s="17"/>
      <c r="AP29" s="17"/>
      <c r="AQ29" s="17"/>
      <c r="AR29" s="17"/>
      <c r="AT29" s="3">
        <f t="shared" si="0"/>
        <v>13620</v>
      </c>
      <c r="AU29" s="3">
        <v>13620</v>
      </c>
      <c r="AW29" s="2"/>
    </row>
    <row r="30" spans="1:58">
      <c r="A30" s="2">
        <v>2046</v>
      </c>
      <c r="B30" s="2">
        <v>30947</v>
      </c>
      <c r="F30" s="9"/>
      <c r="AT30" s="3">
        <f t="shared" si="0"/>
        <v>13720</v>
      </c>
      <c r="AU30" s="3">
        <v>13720</v>
      </c>
      <c r="AW30" s="2"/>
    </row>
    <row r="31" spans="1:58">
      <c r="A31" s="2">
        <v>2047</v>
      </c>
      <c r="B31" s="2">
        <v>30717</v>
      </c>
      <c r="F31" s="9"/>
      <c r="AT31" s="3">
        <f t="shared" si="0"/>
        <v>13800</v>
      </c>
      <c r="AU31" s="3">
        <v>13800</v>
      </c>
      <c r="AW31" s="2"/>
    </row>
    <row r="32" spans="1:58">
      <c r="A32" s="2">
        <v>2048</v>
      </c>
      <c r="B32" s="2">
        <v>30435</v>
      </c>
      <c r="F32" s="9"/>
      <c r="AT32" s="3">
        <f t="shared" si="0"/>
        <v>13880</v>
      </c>
      <c r="AU32" s="3">
        <v>13880</v>
      </c>
      <c r="AW32" s="2"/>
    </row>
    <row r="33" spans="1:56">
      <c r="A33" s="2">
        <v>2049</v>
      </c>
      <c r="B33" s="2">
        <v>30101</v>
      </c>
      <c r="F33" s="9"/>
      <c r="AT33" s="3">
        <f t="shared" si="0"/>
        <v>13950</v>
      </c>
      <c r="AU33" s="3">
        <v>13950</v>
      </c>
      <c r="AW33" s="2"/>
    </row>
    <row r="34" spans="1:56">
      <c r="A34" s="2">
        <v>2050</v>
      </c>
      <c r="B34" s="2">
        <v>29716</v>
      </c>
      <c r="F34" s="9"/>
      <c r="AT34" s="3">
        <f t="shared" si="0"/>
        <v>14020</v>
      </c>
      <c r="AU34" s="3">
        <v>14020</v>
      </c>
    </row>
    <row r="35" spans="1:56">
      <c r="I35" s="18"/>
    </row>
    <row r="36" spans="1:56">
      <c r="G36" s="19"/>
      <c r="I36" s="18"/>
      <c r="L36" s="19"/>
      <c r="M36" s="19"/>
      <c r="AI36" s="19"/>
    </row>
    <row r="37" spans="1:56">
      <c r="I37" s="18"/>
      <c r="L37" s="17"/>
      <c r="M37" s="17"/>
    </row>
    <row r="38" spans="1:56">
      <c r="I38" s="18"/>
      <c r="L38" s="17"/>
      <c r="M38" s="17"/>
    </row>
    <row r="39" spans="1:56">
      <c r="I39" s="18"/>
      <c r="L39" s="17"/>
      <c r="M39" s="17"/>
    </row>
    <row r="40" spans="1:56">
      <c r="B40" s="3"/>
      <c r="I40" s="18"/>
      <c r="L40" s="17"/>
      <c r="M40" s="17"/>
    </row>
    <row r="41" spans="1:56">
      <c r="I41" s="18"/>
      <c r="L41" s="17"/>
      <c r="M41" s="17"/>
    </row>
    <row r="42" spans="1:56">
      <c r="I42" s="18"/>
      <c r="L42" s="17"/>
      <c r="M42" s="17"/>
    </row>
    <row r="43" spans="1:56">
      <c r="I43" s="18"/>
      <c r="L43" s="17"/>
      <c r="M43" s="17"/>
    </row>
    <row r="44" spans="1:56">
      <c r="I44" s="18"/>
      <c r="L44" s="17"/>
      <c r="M44" s="17"/>
      <c r="BD44" s="6"/>
    </row>
    <row r="45" spans="1:56">
      <c r="I45" s="18"/>
      <c r="L45" s="17"/>
      <c r="M45" s="17"/>
      <c r="BD45" s="6"/>
    </row>
    <row r="46" spans="1:56">
      <c r="I46" s="18"/>
      <c r="L46" s="17"/>
      <c r="M46" s="17"/>
    </row>
    <row r="47" spans="1:56">
      <c r="I47" s="18"/>
      <c r="L47" s="17"/>
      <c r="M47" s="17"/>
    </row>
    <row r="48" spans="1:56">
      <c r="I48" s="18"/>
      <c r="L48" s="17"/>
      <c r="M48" s="17"/>
    </row>
    <row r="49" spans="9:13">
      <c r="I49" s="18"/>
      <c r="L49" s="17"/>
      <c r="M49" s="17"/>
    </row>
    <row r="50" spans="9:13">
      <c r="I50" s="18"/>
      <c r="L50" s="17"/>
      <c r="M50" s="17"/>
    </row>
    <row r="51" spans="9:13">
      <c r="I51" s="18"/>
      <c r="L51" s="17"/>
      <c r="M51" s="17"/>
    </row>
    <row r="52" spans="9:13">
      <c r="I52" s="18"/>
      <c r="L52" s="17"/>
      <c r="M52" s="17"/>
    </row>
    <row r="53" spans="9:13">
      <c r="I53" s="18"/>
      <c r="L53" s="17"/>
      <c r="M53" s="17"/>
    </row>
    <row r="54" spans="9:13">
      <c r="I54" s="18"/>
      <c r="L54" s="17"/>
      <c r="M54" s="17"/>
    </row>
    <row r="55" spans="9:13">
      <c r="I55" s="18"/>
      <c r="L55" s="17"/>
      <c r="M55" s="17"/>
    </row>
    <row r="56" spans="9:13">
      <c r="I56" s="18"/>
      <c r="L56" s="17"/>
      <c r="M56" s="17"/>
    </row>
    <row r="57" spans="9:13">
      <c r="I57" s="18"/>
      <c r="L57" s="17"/>
      <c r="M57" s="17"/>
    </row>
    <row r="58" spans="9:13">
      <c r="I58" s="18"/>
      <c r="L58" s="17"/>
      <c r="M58" s="17"/>
    </row>
    <row r="59" spans="9:13">
      <c r="I59" s="18"/>
      <c r="M59" s="17"/>
    </row>
    <row r="60" spans="9:13">
      <c r="I60" s="18"/>
      <c r="M60" s="17"/>
    </row>
    <row r="61" spans="9:13">
      <c r="I61" s="18"/>
      <c r="M61" s="17"/>
    </row>
    <row r="62" spans="9:13">
      <c r="I62" s="18"/>
      <c r="M62" s="17"/>
    </row>
    <row r="63" spans="9:13">
      <c r="I63" s="18"/>
      <c r="M63" s="17"/>
    </row>
    <row r="64" spans="9:13">
      <c r="I64" s="18"/>
      <c r="M64" s="17"/>
    </row>
    <row r="65" spans="9:13">
      <c r="I65" s="18"/>
      <c r="M65" s="17"/>
    </row>
    <row r="66" spans="9:13">
      <c r="I66" s="18"/>
    </row>
    <row r="67" spans="9:13">
      <c r="I67" s="18"/>
    </row>
    <row r="68" spans="9:13">
      <c r="I68" s="18"/>
    </row>
    <row r="69" spans="9:13">
      <c r="I69" s="18"/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69"/>
  <sheetViews>
    <sheetView zoomScale="81" zoomScaleNormal="81" topLeftCell="X1" workbookViewId="0">
      <selection activeCell="AH39" sqref="AH39"/>
    </sheetView>
  </sheetViews>
  <sheetFormatPr defaultColWidth="9" defaultRowHeight="14"/>
  <cols>
    <col min="1" max="1" width="9" style="2"/>
    <col min="2" max="2" width="21.3583333333333" style="2" customWidth="1"/>
    <col min="3" max="5" width="13" style="2" customWidth="1"/>
    <col min="6" max="6" width="16.8583333333333" style="2" customWidth="1"/>
    <col min="7" max="7" width="16" style="2" customWidth="1"/>
    <col min="8" max="10" width="18.8583333333333" style="2" customWidth="1"/>
    <col min="11" max="11" width="19.3583333333333" style="2" customWidth="1"/>
    <col min="12" max="12" width="18.7083333333333" style="2" customWidth="1"/>
    <col min="13" max="17" width="18" style="2" customWidth="1"/>
    <col min="18" max="18" width="21" style="2" customWidth="1"/>
    <col min="19" max="19" width="22.6416666666667" style="2" customWidth="1"/>
    <col min="20" max="20" width="19" style="3" customWidth="1"/>
    <col min="21" max="22" width="19.3583333333333" style="3" customWidth="1"/>
    <col min="23" max="23" width="21.3583333333333" style="3" customWidth="1"/>
    <col min="24" max="27" width="17.1416666666667" style="3" customWidth="1"/>
    <col min="28" max="28" width="13.1416666666667" style="3" customWidth="1"/>
    <col min="29" max="29" width="15.8583333333333" style="3" customWidth="1"/>
    <col min="30" max="30" width="11.5" style="3" customWidth="1"/>
    <col min="31" max="31" width="13.8583333333333" style="3" customWidth="1"/>
    <col min="32" max="37" width="9" style="3"/>
    <col min="38" max="39" width="11.2083333333333" style="3" customWidth="1"/>
    <col min="40" max="40" width="12.6416666666667" style="3" customWidth="1"/>
    <col min="41" max="16384" width="9" style="3"/>
  </cols>
  <sheetData>
    <row r="1" spans="1:41">
      <c r="A1" s="2" t="s">
        <v>0</v>
      </c>
      <c r="B1" s="2" t="s">
        <v>1</v>
      </c>
      <c r="C1" s="4" t="s">
        <v>8</v>
      </c>
      <c r="D1" s="2" t="s">
        <v>9</v>
      </c>
      <c r="E1" s="2" t="s">
        <v>10</v>
      </c>
      <c r="F1" s="2" t="s">
        <v>11</v>
      </c>
      <c r="G1" s="2" t="s">
        <v>2</v>
      </c>
      <c r="H1" s="4" t="s">
        <v>12</v>
      </c>
      <c r="I1" s="2" t="s">
        <v>13</v>
      </c>
      <c r="J1" s="2" t="s">
        <v>14</v>
      </c>
      <c r="K1" s="2" t="s">
        <v>15</v>
      </c>
      <c r="L1" s="3" t="s">
        <v>16</v>
      </c>
      <c r="M1" s="3" t="s">
        <v>17</v>
      </c>
      <c r="N1" s="2" t="s">
        <v>18</v>
      </c>
      <c r="O1" s="2" t="s">
        <v>19</v>
      </c>
      <c r="P1" s="2" t="s">
        <v>28</v>
      </c>
      <c r="Q1" s="3" t="s">
        <v>29</v>
      </c>
      <c r="R1" s="3" t="s">
        <v>38</v>
      </c>
      <c r="S1" s="3" t="s">
        <v>39</v>
      </c>
      <c r="T1" s="2" t="s">
        <v>50</v>
      </c>
      <c r="U1" s="2" t="s">
        <v>3</v>
      </c>
      <c r="V1" s="2" t="s">
        <v>52</v>
      </c>
      <c r="W1" s="2" t="s">
        <v>53</v>
      </c>
      <c r="X1" s="2" t="s">
        <v>4</v>
      </c>
      <c r="Y1" s="2" t="s">
        <v>54</v>
      </c>
      <c r="Z1" s="2" t="s">
        <v>55</v>
      </c>
      <c r="AA1" s="2" t="s">
        <v>5</v>
      </c>
      <c r="AB1" s="5" t="s">
        <v>56</v>
      </c>
      <c r="AC1" s="5" t="s">
        <v>57</v>
      </c>
      <c r="AD1" s="5" t="s">
        <v>6</v>
      </c>
      <c r="AE1" s="5" t="s">
        <v>7</v>
      </c>
      <c r="AG1" s="6"/>
    </row>
    <row r="2" spans="1:41">
      <c r="A2" s="2">
        <v>2018</v>
      </c>
      <c r="B2" s="2">
        <v>25411</v>
      </c>
      <c r="C2" s="4"/>
      <c r="G2" s="2">
        <v>202332</v>
      </c>
      <c r="H2" s="4"/>
      <c r="T2" s="3">
        <v>10790</v>
      </c>
      <c r="U2" s="3">
        <v>10790</v>
      </c>
      <c r="V2" s="2"/>
    </row>
    <row r="3" spans="1:41">
      <c r="A3" s="2">
        <v>2019</v>
      </c>
      <c r="B3" s="2">
        <v>23562</v>
      </c>
      <c r="C3" s="7">
        <f>1-F3</f>
        <v>0.0419803617850996</v>
      </c>
      <c r="D3" s="8">
        <v>0.032599898876045</v>
      </c>
      <c r="E3" s="8">
        <v>0.00938046290905463</v>
      </c>
      <c r="F3" s="9">
        <v>0.9580196382149</v>
      </c>
      <c r="G3" s="2">
        <v>222992</v>
      </c>
      <c r="H3" s="4">
        <f>I3+J3</f>
        <v>3761.60572462367</v>
      </c>
      <c r="I3" s="2">
        <v>2938.92945136004</v>
      </c>
      <c r="J3" s="2">
        <v>822.676273263626</v>
      </c>
      <c r="K3" s="2">
        <v>219230.550413899</v>
      </c>
      <c r="L3" s="10">
        <f>C3*B3</f>
        <v>989.141284380516</v>
      </c>
      <c r="M3" s="10"/>
      <c r="N3" s="4">
        <f>D3*B3</f>
        <v>768.118817317372</v>
      </c>
      <c r="O3" s="4"/>
      <c r="P3" s="4">
        <f>E3*B3</f>
        <v>221.022467063145</v>
      </c>
      <c r="Q3" s="4"/>
      <c r="R3" s="4">
        <f>B3*F3</f>
        <v>22572.8587156195</v>
      </c>
      <c r="S3" s="4"/>
      <c r="T3" s="3">
        <v>10590</v>
      </c>
      <c r="U3" s="3">
        <v>10590</v>
      </c>
      <c r="V3" s="2"/>
    </row>
    <row r="4" spans="1:41">
      <c r="A4" s="2">
        <v>2020</v>
      </c>
      <c r="B4" s="2">
        <v>24584</v>
      </c>
      <c r="C4" s="7">
        <f t="shared" ref="C4:C24" si="0">1-F4</f>
        <v>0.048418717521153</v>
      </c>
      <c r="D4" s="8">
        <v>0.032875363716192</v>
      </c>
      <c r="E4" s="8">
        <v>0.015543353804961</v>
      </c>
      <c r="F4" s="9">
        <v>0.951581282478847</v>
      </c>
      <c r="G4" s="2">
        <v>240900</v>
      </c>
      <c r="H4" s="4">
        <f t="shared" ref="H4:H24" si="1">I4+J4</f>
        <v>4933.52636113495</v>
      </c>
      <c r="I4" s="2">
        <v>3737.50948282408</v>
      </c>
      <c r="J4" s="2">
        <v>1196.01687831087</v>
      </c>
      <c r="K4" s="2">
        <v>235966.222289356</v>
      </c>
      <c r="L4" s="10">
        <f t="shared" ref="L4:L24" si="2">C4*B4</f>
        <v>1190.32575154003</v>
      </c>
      <c r="M4" s="10">
        <f>H3+L4-H4</f>
        <v>18.4051150287387</v>
      </c>
      <c r="N4" s="4">
        <f t="shared" ref="N4:N24" si="3">D4*B4</f>
        <v>808.207941598863</v>
      </c>
      <c r="O4" s="4">
        <f>I3+N4-I4</f>
        <v>9.62791013482183</v>
      </c>
      <c r="P4" s="4">
        <f t="shared" ref="P4:P24" si="4">E4*B4</f>
        <v>382.117809941162</v>
      </c>
      <c r="Q4" s="4">
        <f>J3+P4-J4</f>
        <v>8.77720489391663</v>
      </c>
      <c r="R4" s="4">
        <f t="shared" ref="R4:R24" si="5">B4*F4</f>
        <v>23393.67424846</v>
      </c>
      <c r="S4" s="4">
        <f>R4+K3-K4</f>
        <v>6658.00237300253</v>
      </c>
      <c r="T4" s="3">
        <v>10560</v>
      </c>
      <c r="U4" s="3">
        <v>10560</v>
      </c>
      <c r="V4" s="2"/>
      <c r="AB4" s="11">
        <f>I4*1000*T4*V4/1000000</f>
        <v>0</v>
      </c>
      <c r="AC4" s="11">
        <f>J4*1000*W4*T4/1000000</f>
        <v>0</v>
      </c>
      <c r="AD4" s="11">
        <f>K4*X4*U4*1000/1000000</f>
        <v>0</v>
      </c>
      <c r="AE4" s="11">
        <f>(AD4+AC4+AB4)/100000000000</f>
        <v>0</v>
      </c>
    </row>
    <row r="5" s="1" customFormat="1" spans="1:41">
      <c r="A5" s="1">
        <v>2021</v>
      </c>
      <c r="B5" s="1">
        <v>25535</v>
      </c>
      <c r="C5" s="12">
        <f t="shared" si="0"/>
        <v>0.0853030714432165</v>
      </c>
      <c r="D5" s="13">
        <v>0.0625742701882644</v>
      </c>
      <c r="E5" s="13">
        <v>0.0227288012549521</v>
      </c>
      <c r="F5" s="14">
        <v>0.914696928556784</v>
      </c>
      <c r="G5" s="1">
        <v>258441</v>
      </c>
      <c r="H5" s="15">
        <f t="shared" si="1"/>
        <v>7077.55008760057</v>
      </c>
      <c r="I5" s="1">
        <v>5305.87445977142</v>
      </c>
      <c r="J5" s="1">
        <v>1771.67562782915</v>
      </c>
      <c r="K5" s="1">
        <v>251363.517513367</v>
      </c>
      <c r="L5" s="16">
        <f t="shared" si="2"/>
        <v>2178.21392930253</v>
      </c>
      <c r="M5" s="16">
        <f t="shared" ref="M5:M24" si="6">H4+L5-H5</f>
        <v>34.1902028369113</v>
      </c>
      <c r="N5" s="15">
        <f t="shared" si="3"/>
        <v>1597.83398925733</v>
      </c>
      <c r="O5" s="15">
        <f t="shared" ref="O5:O24" si="7">I4+N5-I5</f>
        <v>29.4690123099899</v>
      </c>
      <c r="P5" s="15">
        <f t="shared" si="4"/>
        <v>580.379940045201</v>
      </c>
      <c r="Q5" s="15">
        <f t="shared" ref="Q5:Q24" si="8">J4+P5-J5</f>
        <v>4.72119052692278</v>
      </c>
      <c r="R5" s="15">
        <f t="shared" si="5"/>
        <v>23356.7860706975</v>
      </c>
      <c r="S5" s="15">
        <f t="shared" ref="S5:S24" si="9">R5+K4-K5</f>
        <v>7959.49084668668</v>
      </c>
      <c r="T5" s="1">
        <v>10540</v>
      </c>
      <c r="U5" s="1">
        <v>10540</v>
      </c>
      <c r="V5" s="1">
        <v>69.96</v>
      </c>
      <c r="W5" s="1">
        <v>87.12</v>
      </c>
      <c r="X5" s="1">
        <v>60.36</v>
      </c>
      <c r="Y5" s="1">
        <v>81.15</v>
      </c>
      <c r="Z5" s="1">
        <v>127.98</v>
      </c>
      <c r="AA5" s="3">
        <v>205.33</v>
      </c>
      <c r="AB5" s="15">
        <f>V5*T5*15*N5+Y5*T5*I5</f>
        <v>22211349905.769</v>
      </c>
      <c r="AC5" s="15">
        <f>W5*T5*15*P5+J5*T5*Z5</f>
        <v>10383792483.3568</v>
      </c>
      <c r="AD5" s="15">
        <f>U5*X5*15*R5+K5*U5*AA5</f>
        <v>766887292380.384</v>
      </c>
      <c r="AE5" s="15">
        <f>(AD5+AC5+AB5)/100000000000</f>
        <v>7.9948243476951</v>
      </c>
    </row>
    <row r="6" spans="1:41">
      <c r="A6" s="2">
        <v>2022</v>
      </c>
      <c r="B6" s="2">
        <v>26419</v>
      </c>
      <c r="C6" s="7">
        <f t="shared" si="0"/>
        <v>0.0948372473238583</v>
      </c>
      <c r="D6" s="8">
        <v>0.0714844983147803</v>
      </c>
      <c r="E6" s="8">
        <v>0.0233527490090781</v>
      </c>
      <c r="F6" s="9">
        <v>0.905162752676142</v>
      </c>
      <c r="G6" s="2">
        <v>275271</v>
      </c>
      <c r="H6" s="4">
        <f t="shared" si="1"/>
        <v>9519.25801058289</v>
      </c>
      <c r="I6" s="2">
        <v>7133.62247037181</v>
      </c>
      <c r="J6" s="2">
        <v>2385.63554021108</v>
      </c>
      <c r="K6" s="2">
        <v>265751.540156694</v>
      </c>
      <c r="L6" s="10">
        <f t="shared" si="2"/>
        <v>2505.50523704901</v>
      </c>
      <c r="M6" s="10">
        <f t="shared" si="6"/>
        <v>63.7973140666927</v>
      </c>
      <c r="N6" s="4">
        <f t="shared" si="3"/>
        <v>1888.54896097818</v>
      </c>
      <c r="O6" s="4">
        <f t="shared" si="7"/>
        <v>60.8009503777894</v>
      </c>
      <c r="P6" s="4">
        <f t="shared" si="4"/>
        <v>616.956276070835</v>
      </c>
      <c r="Q6" s="4">
        <f t="shared" si="8"/>
        <v>2.99636368890333</v>
      </c>
      <c r="R6" s="4">
        <f t="shared" si="5"/>
        <v>23913.494762951</v>
      </c>
      <c r="S6" s="4">
        <f t="shared" si="9"/>
        <v>9525.47211962473</v>
      </c>
      <c r="T6" s="3">
        <v>10530</v>
      </c>
      <c r="U6" s="3">
        <v>10530</v>
      </c>
      <c r="V6" s="2">
        <v>63.50439</v>
      </c>
      <c r="W6" s="3">
        <v>75.52362</v>
      </c>
      <c r="X6" s="3">
        <v>50.4199</v>
      </c>
      <c r="Y6" s="3">
        <v>73.91077</v>
      </c>
      <c r="Z6" s="3">
        <v>117.62685</v>
      </c>
      <c r="AA6" s="3">
        <v>195.74948</v>
      </c>
      <c r="AB6" s="15">
        <f t="shared" ref="AB6:AB24" si="10">V6*T6*15*N6+Y6*T6*I6</f>
        <v>24495083710.8091</v>
      </c>
      <c r="AC6" s="15">
        <f t="shared" ref="AC6:AC24" si="11">W6*T6*15*P6+J6*T6*Z6</f>
        <v>10314517913.9931</v>
      </c>
      <c r="AD6" s="15">
        <f t="shared" ref="AD6:AD24" si="12">U6*X6*15*R6+K6*U6*AA6</f>
        <v>738221087125.836</v>
      </c>
      <c r="AE6" s="11">
        <f t="shared" ref="AE6:AE24" si="13">(AD6+AC6+AB6)/100000000000</f>
        <v>7.73030688750638</v>
      </c>
      <c r="AG6" s="1"/>
      <c r="AH6" s="1"/>
      <c r="AI6" s="1"/>
      <c r="AJ6" s="1"/>
      <c r="AL6" s="1"/>
      <c r="AM6" s="1"/>
      <c r="AN6" s="1"/>
      <c r="AO6" s="1"/>
    </row>
    <row r="7" spans="1:41">
      <c r="A7" s="2">
        <v>2023</v>
      </c>
      <c r="B7" s="2">
        <v>27241</v>
      </c>
      <c r="C7" s="7">
        <f t="shared" si="0"/>
        <v>0.113208921785586</v>
      </c>
      <c r="D7" s="8">
        <v>0.085150312799082</v>
      </c>
      <c r="E7" s="8">
        <v>0.0280586089865036</v>
      </c>
      <c r="F7" s="9">
        <v>0.886791078214414</v>
      </c>
      <c r="G7" s="2">
        <v>291214</v>
      </c>
      <c r="H7" s="4">
        <f t="shared" si="1"/>
        <v>12461.0783897459</v>
      </c>
      <c r="I7" s="2">
        <v>9313.60419080649</v>
      </c>
      <c r="J7" s="2">
        <v>3147.47419893943</v>
      </c>
      <c r="K7" s="2">
        <v>278752.829191179</v>
      </c>
      <c r="L7" s="10">
        <f t="shared" si="2"/>
        <v>3083.92423836114</v>
      </c>
      <c r="M7" s="10">
        <f t="shared" si="6"/>
        <v>142.103859198116</v>
      </c>
      <c r="N7" s="4">
        <f t="shared" si="3"/>
        <v>2319.57967095979</v>
      </c>
      <c r="O7" s="4">
        <f t="shared" si="7"/>
        <v>139.597950525118</v>
      </c>
      <c r="P7" s="4">
        <f t="shared" si="4"/>
        <v>764.344567401344</v>
      </c>
      <c r="Q7" s="4">
        <f t="shared" si="8"/>
        <v>2.50590867299798</v>
      </c>
      <c r="R7" s="4">
        <f t="shared" si="5"/>
        <v>24157.0757616389</v>
      </c>
      <c r="S7" s="4">
        <f t="shared" si="9"/>
        <v>11155.7867271539</v>
      </c>
      <c r="T7" s="3">
        <v>10550</v>
      </c>
      <c r="U7" s="3">
        <v>10550</v>
      </c>
      <c r="V7" s="2">
        <v>58.60798</v>
      </c>
      <c r="W7" s="3">
        <v>70.20926</v>
      </c>
      <c r="X7" s="3">
        <v>46.95855</v>
      </c>
      <c r="Y7" s="3">
        <v>67.67188</v>
      </c>
      <c r="Z7" s="3">
        <v>109.01674</v>
      </c>
      <c r="AA7" s="3">
        <v>188.31628</v>
      </c>
      <c r="AB7" s="15">
        <f t="shared" si="10"/>
        <v>28162774405.5757</v>
      </c>
      <c r="AC7" s="15">
        <f t="shared" si="11"/>
        <v>12112332338.7002</v>
      </c>
      <c r="AD7" s="15">
        <f t="shared" si="12"/>
        <v>733324323849.16</v>
      </c>
      <c r="AE7" s="11">
        <f t="shared" si="13"/>
        <v>7.73599430593436</v>
      </c>
      <c r="AG7" s="1"/>
      <c r="AH7" s="1"/>
      <c r="AI7" s="1"/>
      <c r="AJ7" s="1"/>
      <c r="AL7" s="1"/>
      <c r="AM7" s="1"/>
      <c r="AN7" s="1"/>
      <c r="AO7" s="1"/>
    </row>
    <row r="8" spans="1:41">
      <c r="A8" s="2">
        <v>2024</v>
      </c>
      <c r="B8" s="2">
        <v>27993</v>
      </c>
      <c r="C8" s="7">
        <f t="shared" si="0"/>
        <v>0.151921549573801</v>
      </c>
      <c r="D8" s="8">
        <v>0.117148866299154</v>
      </c>
      <c r="E8" s="8">
        <v>0.0347726832746464</v>
      </c>
      <c r="F8" s="9">
        <v>0.848078450426199</v>
      </c>
      <c r="G8" s="2">
        <v>306166</v>
      </c>
      <c r="H8" s="4">
        <f t="shared" si="1"/>
        <v>16506.4772076612</v>
      </c>
      <c r="I8" s="2">
        <v>12386.0870320505</v>
      </c>
      <c r="J8" s="2">
        <v>4120.39017561064</v>
      </c>
      <c r="K8" s="2">
        <v>289658.978149812</v>
      </c>
      <c r="L8" s="10">
        <f t="shared" si="2"/>
        <v>4252.7399372194</v>
      </c>
      <c r="M8" s="10">
        <f t="shared" si="6"/>
        <v>207.341119304139</v>
      </c>
      <c r="N8" s="4">
        <f t="shared" si="3"/>
        <v>3279.34821431223</v>
      </c>
      <c r="O8" s="4">
        <f t="shared" si="7"/>
        <v>206.865373068174</v>
      </c>
      <c r="P8" s="4">
        <f t="shared" si="4"/>
        <v>973.391722907178</v>
      </c>
      <c r="Q8" s="4">
        <f t="shared" si="8"/>
        <v>0.475746235962106</v>
      </c>
      <c r="R8" s="4">
        <f t="shared" si="5"/>
        <v>23740.2600627806</v>
      </c>
      <c r="S8" s="4">
        <f t="shared" si="9"/>
        <v>12834.1111041472</v>
      </c>
      <c r="T8" s="3">
        <v>10590</v>
      </c>
      <c r="U8" s="3">
        <v>10590</v>
      </c>
      <c r="V8" s="2">
        <v>54.93549</v>
      </c>
      <c r="W8" s="3">
        <v>66.75571</v>
      </c>
      <c r="X8" s="3">
        <v>44.77463</v>
      </c>
      <c r="Y8" s="3">
        <v>62.69849</v>
      </c>
      <c r="Z8" s="3">
        <v>102.15124</v>
      </c>
      <c r="AA8" s="3">
        <v>182.69018</v>
      </c>
      <c r="AB8" s="15">
        <f t="shared" si="10"/>
        <v>36841317696.223</v>
      </c>
      <c r="AC8" s="15">
        <f t="shared" si="11"/>
        <v>14779348924.421</v>
      </c>
      <c r="AD8" s="15">
        <f t="shared" si="12"/>
        <v>729251452675.455</v>
      </c>
      <c r="AE8" s="11">
        <f t="shared" si="13"/>
        <v>7.80872119296099</v>
      </c>
      <c r="AG8" s="1"/>
      <c r="AH8" s="1"/>
      <c r="AI8" s="1"/>
      <c r="AJ8" s="1"/>
      <c r="AL8" s="1"/>
      <c r="AM8" s="1"/>
      <c r="AN8" s="1"/>
      <c r="AO8" s="1"/>
    </row>
    <row r="9" spans="1:41">
      <c r="A9" s="2">
        <v>2025</v>
      </c>
      <c r="B9" s="2">
        <v>28671</v>
      </c>
      <c r="C9" s="7">
        <f t="shared" si="0"/>
        <v>0.209462516960962</v>
      </c>
      <c r="D9" s="8">
        <v>0.164993883786381</v>
      </c>
      <c r="E9" s="8">
        <v>0.0445686331745817</v>
      </c>
      <c r="F9" s="9">
        <v>0.790537483039038</v>
      </c>
      <c r="G9" s="2">
        <v>320049</v>
      </c>
      <c r="H9" s="4">
        <f t="shared" si="1"/>
        <v>22278.4307772384</v>
      </c>
      <c r="I9" s="2">
        <v>16880.7057955733</v>
      </c>
      <c r="J9" s="2">
        <v>5397.72498166505</v>
      </c>
      <c r="K9" s="2">
        <v>297770.377292236</v>
      </c>
      <c r="L9" s="10">
        <f>C9*B9+2.86709999999925</f>
        <v>6008.36692378775</v>
      </c>
      <c r="M9" s="10">
        <f t="shared" si="6"/>
        <v>236.413354210563</v>
      </c>
      <c r="N9" s="4">
        <f t="shared" si="3"/>
        <v>4730.53964203932</v>
      </c>
      <c r="O9" s="4">
        <f t="shared" si="7"/>
        <v>235.920878516539</v>
      </c>
      <c r="P9" s="4">
        <f t="shared" si="4"/>
        <v>1277.82728174843</v>
      </c>
      <c r="Q9" s="4">
        <f t="shared" si="8"/>
        <v>0.492475694025416</v>
      </c>
      <c r="R9" s="4">
        <f t="shared" si="5"/>
        <v>22665.5001762122</v>
      </c>
      <c r="S9" s="4">
        <f t="shared" si="9"/>
        <v>14554.101033788</v>
      </c>
      <c r="T9" s="3">
        <v>10670</v>
      </c>
      <c r="U9" s="3">
        <v>10670</v>
      </c>
      <c r="V9" s="2">
        <v>52.13797</v>
      </c>
      <c r="W9" s="3">
        <v>64.15557</v>
      </c>
      <c r="X9" s="3">
        <v>43.19394</v>
      </c>
      <c r="Y9" s="3">
        <v>58.63189</v>
      </c>
      <c r="Z9" s="3">
        <v>96.56539</v>
      </c>
      <c r="AA9" s="3">
        <v>178.26752</v>
      </c>
      <c r="AB9" s="15">
        <f t="shared" si="10"/>
        <v>50035457269.6243</v>
      </c>
      <c r="AC9" s="15">
        <f t="shared" si="11"/>
        <v>18682417576.1308</v>
      </c>
      <c r="AD9" s="15">
        <f t="shared" si="12"/>
        <v>723084245337.12</v>
      </c>
      <c r="AE9" s="11">
        <f t="shared" si="13"/>
        <v>7.91802120182875</v>
      </c>
      <c r="AG9" s="1"/>
      <c r="AH9" s="1"/>
      <c r="AI9" s="1"/>
      <c r="AJ9" s="1"/>
      <c r="AL9" s="1"/>
      <c r="AM9" s="1"/>
      <c r="AN9" s="1"/>
      <c r="AO9" s="1"/>
    </row>
    <row r="10" spans="1:41">
      <c r="A10" s="2">
        <v>2026</v>
      </c>
      <c r="B10" s="2">
        <v>29267</v>
      </c>
      <c r="C10" s="7">
        <f t="shared" si="0"/>
        <v>0.226704534021912</v>
      </c>
      <c r="D10" s="8">
        <v>0.175460775773863</v>
      </c>
      <c r="E10" s="8">
        <v>0.0512437582480487</v>
      </c>
      <c r="F10" s="9">
        <v>0.773295465978088</v>
      </c>
      <c r="G10" s="2">
        <v>332813</v>
      </c>
      <c r="H10" s="4">
        <f t="shared" si="1"/>
        <v>28616.7302102575</v>
      </c>
      <c r="I10" s="2">
        <v>21719.2794863226</v>
      </c>
      <c r="J10" s="2">
        <v>6897.45072393496</v>
      </c>
      <c r="K10" s="2">
        <v>304197.063458072</v>
      </c>
      <c r="L10" s="10">
        <f>C10*B10</f>
        <v>6634.9615972193</v>
      </c>
      <c r="M10" s="10">
        <f t="shared" si="6"/>
        <v>296.662164200159</v>
      </c>
      <c r="N10" s="4">
        <f t="shared" si="3"/>
        <v>5135.21052457366</v>
      </c>
      <c r="O10" s="4">
        <f t="shared" si="7"/>
        <v>296.636833824425</v>
      </c>
      <c r="P10" s="4">
        <f t="shared" si="4"/>
        <v>1499.75107264564</v>
      </c>
      <c r="Q10" s="4">
        <f t="shared" si="8"/>
        <v>0.0253303757344838</v>
      </c>
      <c r="R10" s="4">
        <f t="shared" si="5"/>
        <v>22632.0384027807</v>
      </c>
      <c r="S10" s="4">
        <f t="shared" si="9"/>
        <v>16205.3522369444</v>
      </c>
      <c r="T10" s="3">
        <v>10790</v>
      </c>
      <c r="U10" s="3">
        <v>10790</v>
      </c>
      <c r="V10" s="2">
        <v>49.82293</v>
      </c>
      <c r="W10" s="3">
        <v>62.09085</v>
      </c>
      <c r="X10" s="3">
        <v>41.95079</v>
      </c>
      <c r="Y10" s="3">
        <v>55.19942</v>
      </c>
      <c r="Z10" s="3">
        <v>91.90602</v>
      </c>
      <c r="AA10" s="3">
        <v>174.61368</v>
      </c>
      <c r="AB10" s="15">
        <f t="shared" si="10"/>
        <v>54345562996.6972</v>
      </c>
      <c r="AC10" s="15">
        <f t="shared" si="11"/>
        <v>21911571601.9157</v>
      </c>
      <c r="AD10" s="15">
        <f t="shared" si="12"/>
        <v>726797643671.792</v>
      </c>
      <c r="AE10" s="11">
        <f t="shared" si="13"/>
        <v>8.03054778270404</v>
      </c>
      <c r="AG10" s="1"/>
      <c r="AH10" s="1"/>
      <c r="AI10" s="1"/>
      <c r="AJ10" s="1"/>
      <c r="AL10" s="1"/>
      <c r="AM10" s="1"/>
      <c r="AN10" s="1"/>
      <c r="AO10" s="1"/>
    </row>
    <row r="11" spans="1:41">
      <c r="A11" s="2">
        <v>2027</v>
      </c>
      <c r="B11" s="2">
        <v>29821</v>
      </c>
      <c r="C11" s="7">
        <f t="shared" si="0"/>
        <v>0.245642519234013</v>
      </c>
      <c r="D11" s="8">
        <v>0.186948865151382</v>
      </c>
      <c r="E11" s="8">
        <v>0.0586936540826313</v>
      </c>
      <c r="F11" s="9">
        <v>0.754357480765987</v>
      </c>
      <c r="G11" s="2">
        <v>344472</v>
      </c>
      <c r="H11" s="4">
        <f t="shared" si="1"/>
        <v>35569.8505367146</v>
      </c>
      <c r="I11" s="2">
        <v>26928.1597531463</v>
      </c>
      <c r="J11" s="2">
        <v>8641.69078356824</v>
      </c>
      <c r="K11" s="2">
        <v>308902.257462042</v>
      </c>
      <c r="L11" s="10">
        <f t="shared" si="2"/>
        <v>7325.30556607752</v>
      </c>
      <c r="M11" s="10">
        <f t="shared" si="6"/>
        <v>372.18523962047</v>
      </c>
      <c r="N11" s="4">
        <f t="shared" si="3"/>
        <v>5575.00210767937</v>
      </c>
      <c r="O11" s="4">
        <f t="shared" si="7"/>
        <v>366.121840855609</v>
      </c>
      <c r="P11" s="4">
        <f t="shared" si="4"/>
        <v>1750.30345839815</v>
      </c>
      <c r="Q11" s="4">
        <f t="shared" si="8"/>
        <v>6.06339876486527</v>
      </c>
      <c r="R11" s="4">
        <f t="shared" si="5"/>
        <v>22495.6944339225</v>
      </c>
      <c r="S11" s="4">
        <f t="shared" si="9"/>
        <v>17790.5004299529</v>
      </c>
      <c r="T11" s="3">
        <v>10940</v>
      </c>
      <c r="U11" s="3">
        <v>10940</v>
      </c>
      <c r="V11" s="2">
        <v>47.81287</v>
      </c>
      <c r="W11" s="3">
        <v>60.26845</v>
      </c>
      <c r="X11" s="3">
        <v>40.90286</v>
      </c>
      <c r="Y11" s="3">
        <v>52.12911</v>
      </c>
      <c r="Z11" s="3">
        <v>87.70894</v>
      </c>
      <c r="AA11" s="3">
        <v>171.52633</v>
      </c>
      <c r="AB11" s="15">
        <f t="shared" si="10"/>
        <v>59098905813.5217</v>
      </c>
      <c r="AC11" s="15">
        <f t="shared" si="11"/>
        <v>25602605058.7571</v>
      </c>
      <c r="AD11" s="15">
        <f t="shared" si="12"/>
        <v>730649169019.399</v>
      </c>
      <c r="AE11" s="11">
        <f t="shared" si="13"/>
        <v>8.15350679891678</v>
      </c>
      <c r="AG11" s="1"/>
      <c r="AH11" s="1"/>
      <c r="AI11" s="1"/>
      <c r="AJ11" s="1"/>
      <c r="AL11" s="1"/>
      <c r="AM11" s="1"/>
      <c r="AN11" s="1"/>
      <c r="AO11" s="1"/>
    </row>
    <row r="12" spans="1:41">
      <c r="A12" s="2">
        <v>2028</v>
      </c>
      <c r="B12" s="2">
        <v>30337</v>
      </c>
      <c r="C12" s="7">
        <f t="shared" si="0"/>
        <v>0.266837869996607</v>
      </c>
      <c r="D12" s="8">
        <v>0.196592723750158</v>
      </c>
      <c r="E12" s="8">
        <v>0.0702451462464487</v>
      </c>
      <c r="F12" s="9">
        <v>0.733162130003393</v>
      </c>
      <c r="G12" s="2">
        <v>355083</v>
      </c>
      <c r="H12" s="4">
        <f t="shared" si="1"/>
        <v>43186.7966272484</v>
      </c>
      <c r="I12" s="2">
        <v>32429.9416267001</v>
      </c>
      <c r="J12" s="2">
        <v>10756.8550005483</v>
      </c>
      <c r="K12" s="2">
        <v>311896.164483548</v>
      </c>
      <c r="L12" s="10">
        <f t="shared" si="2"/>
        <v>8095.06046208706</v>
      </c>
      <c r="M12" s="10">
        <f t="shared" si="6"/>
        <v>478.114371553238</v>
      </c>
      <c r="N12" s="4">
        <f t="shared" si="3"/>
        <v>5964.03346040854</v>
      </c>
      <c r="O12" s="4">
        <f t="shared" si="7"/>
        <v>462.251586854793</v>
      </c>
      <c r="P12" s="4">
        <f t="shared" si="4"/>
        <v>2131.02700167852</v>
      </c>
      <c r="Q12" s="4">
        <f t="shared" si="8"/>
        <v>15.8627846984309</v>
      </c>
      <c r="R12" s="4">
        <f t="shared" si="5"/>
        <v>22241.9395379129</v>
      </c>
      <c r="S12" s="4">
        <f t="shared" si="9"/>
        <v>19248.0325164067</v>
      </c>
      <c r="T12" s="3">
        <v>11100</v>
      </c>
      <c r="U12" s="3">
        <v>11100</v>
      </c>
      <c r="V12" s="2">
        <v>46.10778</v>
      </c>
      <c r="W12" s="3">
        <v>58.61044</v>
      </c>
      <c r="X12" s="3">
        <v>39.97678</v>
      </c>
      <c r="Y12" s="3">
        <v>49.32459</v>
      </c>
      <c r="Z12" s="3">
        <v>83.85118</v>
      </c>
      <c r="AA12" s="3">
        <v>168.74739</v>
      </c>
      <c r="AB12" s="15">
        <f t="shared" si="10"/>
        <v>63541047736.9245</v>
      </c>
      <c r="AC12" s="15">
        <f t="shared" si="11"/>
        <v>30807843963.8952</v>
      </c>
      <c r="AD12" s="15">
        <f t="shared" si="12"/>
        <v>732256794247.26</v>
      </c>
      <c r="AE12" s="11">
        <f t="shared" si="13"/>
        <v>8.26605685948079</v>
      </c>
      <c r="AG12" s="1"/>
      <c r="AH12" s="1"/>
      <c r="AI12" s="1"/>
      <c r="AJ12" s="1"/>
      <c r="AL12" s="1"/>
      <c r="AM12" s="1"/>
      <c r="AN12" s="1"/>
      <c r="AO12" s="1"/>
    </row>
    <row r="13" spans="1:41">
      <c r="A13" s="2">
        <v>2029</v>
      </c>
      <c r="B13" s="2">
        <v>30767</v>
      </c>
      <c r="C13" s="7">
        <f t="shared" si="0"/>
        <v>0.290225747149396</v>
      </c>
      <c r="D13" s="8">
        <v>0.207531450925898</v>
      </c>
      <c r="E13" s="8">
        <v>0.0826942962234978</v>
      </c>
      <c r="F13" s="9">
        <v>0.709774252850604</v>
      </c>
      <c r="G13" s="2">
        <v>364714</v>
      </c>
      <c r="H13" s="4">
        <f t="shared" si="1"/>
        <v>51490.7117876278</v>
      </c>
      <c r="I13" s="2">
        <v>38222.9426280635</v>
      </c>
      <c r="J13" s="2">
        <v>13267.7691595642</v>
      </c>
      <c r="K13" s="2">
        <v>313224.082259062</v>
      </c>
      <c r="L13" s="10">
        <f t="shared" si="2"/>
        <v>8929.37556254546</v>
      </c>
      <c r="M13" s="10">
        <f t="shared" si="6"/>
        <v>625.460402166056</v>
      </c>
      <c r="N13" s="4">
        <f t="shared" si="3"/>
        <v>6385.1201506371</v>
      </c>
      <c r="O13" s="4">
        <f t="shared" si="7"/>
        <v>592.119149273611</v>
      </c>
      <c r="P13" s="4">
        <f t="shared" si="4"/>
        <v>2544.25541190836</v>
      </c>
      <c r="Q13" s="4">
        <f t="shared" si="8"/>
        <v>33.3412528924491</v>
      </c>
      <c r="R13" s="4">
        <f t="shared" si="5"/>
        <v>21837.6244374545</v>
      </c>
      <c r="S13" s="4">
        <f t="shared" si="9"/>
        <v>20509.7066619407</v>
      </c>
      <c r="T13" s="3">
        <v>11270</v>
      </c>
      <c r="U13" s="3">
        <v>11270</v>
      </c>
      <c r="V13" s="2">
        <v>44.64271</v>
      </c>
      <c r="W13" s="3">
        <v>57.04565</v>
      </c>
      <c r="X13" s="3">
        <v>39.07243</v>
      </c>
      <c r="Y13" s="3">
        <v>46.77702</v>
      </c>
      <c r="Z13" s="3">
        <v>80.2147</v>
      </c>
      <c r="AA13" s="3">
        <v>166.26447</v>
      </c>
      <c r="AB13" s="15">
        <f t="shared" si="10"/>
        <v>68337801624.6362</v>
      </c>
      <c r="AC13" s="15">
        <f t="shared" si="11"/>
        <v>36530022150.9623</v>
      </c>
      <c r="AD13" s="15">
        <f t="shared" si="12"/>
        <v>731161218310.199</v>
      </c>
      <c r="AE13" s="11">
        <f t="shared" si="13"/>
        <v>8.36029042085798</v>
      </c>
      <c r="AG13" s="1"/>
      <c r="AH13" s="1"/>
      <c r="AI13" s="1"/>
      <c r="AJ13" s="1"/>
      <c r="AL13" s="1"/>
      <c r="AM13" s="1"/>
      <c r="AN13" s="1"/>
      <c r="AO13" s="1"/>
    </row>
    <row r="14" spans="1:41">
      <c r="A14" s="2">
        <v>2030</v>
      </c>
      <c r="B14" s="2">
        <v>31057</v>
      </c>
      <c r="C14" s="7">
        <f t="shared" si="0"/>
        <v>0.319517234323311</v>
      </c>
      <c r="D14" s="8">
        <v>0.225845567788596</v>
      </c>
      <c r="E14" s="8">
        <v>0.0936716665347149</v>
      </c>
      <c r="F14" s="9">
        <v>0.680482765676689</v>
      </c>
      <c r="G14" s="2">
        <v>373443</v>
      </c>
      <c r="H14" s="4">
        <f t="shared" si="1"/>
        <v>60592.0177566786</v>
      </c>
      <c r="I14" s="2">
        <v>44478.7183957898</v>
      </c>
      <c r="J14" s="2">
        <v>16113.2993608888</v>
      </c>
      <c r="K14" s="2">
        <v>312850.810593583</v>
      </c>
      <c r="L14" s="10">
        <f t="shared" si="2"/>
        <v>9923.24674637907</v>
      </c>
      <c r="M14" s="10">
        <f t="shared" si="6"/>
        <v>821.940777328295</v>
      </c>
      <c r="N14" s="4">
        <f t="shared" si="3"/>
        <v>7014.08579881043</v>
      </c>
      <c r="O14" s="4">
        <f t="shared" si="7"/>
        <v>758.310031084213</v>
      </c>
      <c r="P14" s="4">
        <f t="shared" si="4"/>
        <v>2909.16094756864</v>
      </c>
      <c r="Q14" s="4">
        <f t="shared" si="8"/>
        <v>63.6307462440818</v>
      </c>
      <c r="R14" s="4">
        <f t="shared" si="5"/>
        <v>21133.7532536209</v>
      </c>
      <c r="S14" s="4">
        <f t="shared" si="9"/>
        <v>21507.0249190999</v>
      </c>
      <c r="T14" s="3">
        <v>11440</v>
      </c>
      <c r="U14" s="3">
        <v>11440</v>
      </c>
      <c r="V14" s="2">
        <v>43.35601</v>
      </c>
      <c r="W14" s="3">
        <v>55.63023</v>
      </c>
      <c r="X14" s="3">
        <v>38.21938</v>
      </c>
      <c r="Y14" s="3">
        <v>44.23442</v>
      </c>
      <c r="Z14" s="3">
        <v>76.79428</v>
      </c>
      <c r="AA14" s="3">
        <v>163.91616</v>
      </c>
      <c r="AB14" s="15">
        <f t="shared" si="10"/>
        <v>74692125177.2963</v>
      </c>
      <c r="AC14" s="15">
        <f t="shared" si="11"/>
        <v>41927240922.9713</v>
      </c>
      <c r="AD14" s="15">
        <f t="shared" si="12"/>
        <v>725262683537.198</v>
      </c>
      <c r="AE14" s="11">
        <f t="shared" si="13"/>
        <v>8.41882049637466</v>
      </c>
      <c r="AG14" s="1"/>
      <c r="AH14" s="1"/>
      <c r="AI14" s="1"/>
      <c r="AJ14" s="1"/>
      <c r="AL14" s="1"/>
      <c r="AM14" s="1"/>
      <c r="AN14" s="1"/>
      <c r="AO14" s="1"/>
    </row>
    <row r="15" spans="1:41">
      <c r="A15" s="2">
        <v>2031</v>
      </c>
      <c r="B15" s="2">
        <v>31116</v>
      </c>
      <c r="C15" s="7">
        <f t="shared" si="0"/>
        <v>0.317245734230146</v>
      </c>
      <c r="D15" s="8">
        <v>0.230191643657115</v>
      </c>
      <c r="E15" s="8">
        <v>0.0870540905730316</v>
      </c>
      <c r="F15" s="9">
        <v>0.682754265769854</v>
      </c>
      <c r="G15" s="2">
        <v>381268</v>
      </c>
      <c r="H15" s="4">
        <f t="shared" si="1"/>
        <v>69389.8780899168</v>
      </c>
      <c r="I15" s="2">
        <v>50698.9260064622</v>
      </c>
      <c r="J15" s="2">
        <v>18690.9520834546</v>
      </c>
      <c r="K15" s="2">
        <v>311878.533692855</v>
      </c>
      <c r="L15" s="10">
        <f t="shared" si="2"/>
        <v>9871.41826630524</v>
      </c>
      <c r="M15" s="10">
        <f t="shared" si="6"/>
        <v>1073.55793306702</v>
      </c>
      <c r="N15" s="4">
        <f t="shared" si="3"/>
        <v>7162.64318403479</v>
      </c>
      <c r="O15" s="4">
        <f t="shared" si="7"/>
        <v>942.435573362338</v>
      </c>
      <c r="P15" s="4">
        <f t="shared" si="4"/>
        <v>2708.77508227045</v>
      </c>
      <c r="Q15" s="4">
        <f t="shared" si="8"/>
        <v>131.122359704681</v>
      </c>
      <c r="R15" s="4">
        <f t="shared" si="5"/>
        <v>21244.5817336948</v>
      </c>
      <c r="S15" s="4">
        <f t="shared" si="9"/>
        <v>22216.858634423</v>
      </c>
      <c r="T15" s="3">
        <v>11620</v>
      </c>
      <c r="U15" s="3">
        <v>11620</v>
      </c>
      <c r="V15" s="2">
        <v>42.23781</v>
      </c>
      <c r="W15" s="3">
        <v>54.23697</v>
      </c>
      <c r="X15" s="3">
        <v>37.36846</v>
      </c>
      <c r="Y15" s="3">
        <v>41.85855</v>
      </c>
      <c r="Z15" s="3">
        <v>73.47785</v>
      </c>
      <c r="AA15" s="3">
        <v>161.78325</v>
      </c>
      <c r="AB15" s="15">
        <f t="shared" si="10"/>
        <v>77391511889.2135</v>
      </c>
      <c r="AC15" s="15">
        <f t="shared" si="11"/>
        <v>41565986438.508</v>
      </c>
      <c r="AD15" s="15">
        <f t="shared" si="12"/>
        <v>724679932640.311</v>
      </c>
      <c r="AE15" s="11">
        <f t="shared" si="13"/>
        <v>8.43637430968032</v>
      </c>
      <c r="AG15" s="1"/>
      <c r="AH15" s="1"/>
      <c r="AI15" s="1"/>
      <c r="AJ15" s="1"/>
      <c r="AL15" s="1"/>
      <c r="AM15" s="1"/>
      <c r="AN15" s="1"/>
      <c r="AO15" s="1"/>
    </row>
    <row r="16" spans="1:41">
      <c r="A16" s="2">
        <v>2032</v>
      </c>
      <c r="B16" s="2">
        <v>31274</v>
      </c>
      <c r="C16" s="7">
        <f t="shared" si="0"/>
        <v>0.316312239196366</v>
      </c>
      <c r="D16" s="8">
        <v>0.239768601348979</v>
      </c>
      <c r="E16" s="8">
        <v>0.0765436378473863</v>
      </c>
      <c r="F16" s="9">
        <v>0.683687760803634</v>
      </c>
      <c r="G16" s="2">
        <v>388489</v>
      </c>
      <c r="H16" s="4">
        <f t="shared" si="1"/>
        <v>77903.8683247155</v>
      </c>
      <c r="I16" s="2">
        <v>57040.6383857745</v>
      </c>
      <c r="J16" s="2">
        <v>20863.229938941</v>
      </c>
      <c r="K16" s="2">
        <v>310585.41303932</v>
      </c>
      <c r="L16" s="10">
        <f t="shared" si="2"/>
        <v>9892.34896862714</v>
      </c>
      <c r="M16" s="10">
        <f t="shared" si="6"/>
        <v>1378.35873382838</v>
      </c>
      <c r="N16" s="4">
        <f t="shared" si="3"/>
        <v>7498.52323858798</v>
      </c>
      <c r="O16" s="4">
        <f t="shared" si="7"/>
        <v>1156.81085927568</v>
      </c>
      <c r="P16" s="4">
        <f t="shared" si="4"/>
        <v>2393.82573003916</v>
      </c>
      <c r="Q16" s="4">
        <f t="shared" si="8"/>
        <v>221.547874552703</v>
      </c>
      <c r="R16" s="4">
        <f t="shared" si="5"/>
        <v>21381.6510313729</v>
      </c>
      <c r="S16" s="4">
        <f t="shared" si="9"/>
        <v>22674.7716849082</v>
      </c>
      <c r="T16" s="3">
        <v>11780</v>
      </c>
      <c r="U16" s="3">
        <v>11780</v>
      </c>
      <c r="V16" s="2">
        <v>41.22378</v>
      </c>
      <c r="W16" s="3">
        <v>52.92477</v>
      </c>
      <c r="X16" s="3">
        <v>36.47878</v>
      </c>
      <c r="Y16" s="3">
        <v>39.57171</v>
      </c>
      <c r="Z16" s="3">
        <v>70.16159</v>
      </c>
      <c r="AA16" s="3">
        <v>159.80693</v>
      </c>
      <c r="AB16" s="15">
        <f t="shared" si="10"/>
        <v>81210821530.517</v>
      </c>
      <c r="AC16" s="15">
        <f t="shared" si="11"/>
        <v>39630129077.34</v>
      </c>
      <c r="AD16" s="15">
        <f t="shared" si="12"/>
        <v>722506857354.423</v>
      </c>
      <c r="AE16" s="11">
        <f t="shared" si="13"/>
        <v>8.4334780796228</v>
      </c>
      <c r="AG16" s="1"/>
      <c r="AH16" s="1"/>
      <c r="AI16" s="1"/>
      <c r="AJ16" s="1"/>
      <c r="AL16" s="1"/>
      <c r="AM16" s="1"/>
      <c r="AN16" s="1"/>
      <c r="AO16" s="1"/>
    </row>
    <row r="17" spans="1:41">
      <c r="A17" s="2">
        <v>2033</v>
      </c>
      <c r="B17" s="2">
        <v>31474</v>
      </c>
      <c r="C17" s="7">
        <f t="shared" si="0"/>
        <v>0.316550164311839</v>
      </c>
      <c r="D17" s="8">
        <v>0.242591323810351</v>
      </c>
      <c r="E17" s="8">
        <v>0.0739588405014883</v>
      </c>
      <c r="F17" s="9">
        <v>0.683449835688161</v>
      </c>
      <c r="G17" s="2">
        <v>395263</v>
      </c>
      <c r="H17" s="4">
        <f t="shared" si="1"/>
        <v>86123.8370774815</v>
      </c>
      <c r="I17" s="2">
        <v>63251.0217180025</v>
      </c>
      <c r="J17" s="2">
        <v>22872.815359479</v>
      </c>
      <c r="K17" s="2">
        <v>309139.712660884</v>
      </c>
      <c r="L17" s="10">
        <f t="shared" si="2"/>
        <v>9963.09987155082</v>
      </c>
      <c r="M17" s="10">
        <f t="shared" si="6"/>
        <v>1743.13111878482</v>
      </c>
      <c r="N17" s="4">
        <f t="shared" si="3"/>
        <v>7635.31932560698</v>
      </c>
      <c r="O17" s="4">
        <f t="shared" si="7"/>
        <v>1424.93599337899</v>
      </c>
      <c r="P17" s="4">
        <f t="shared" si="4"/>
        <v>2327.78054594384</v>
      </c>
      <c r="Q17" s="4">
        <f t="shared" si="8"/>
        <v>318.195125405826</v>
      </c>
      <c r="R17" s="4">
        <f t="shared" si="5"/>
        <v>21510.9001284492</v>
      </c>
      <c r="S17" s="4">
        <f t="shared" si="9"/>
        <v>22956.6005068843</v>
      </c>
      <c r="T17" s="3">
        <v>11940</v>
      </c>
      <c r="U17" s="3">
        <v>11940</v>
      </c>
      <c r="V17" s="2">
        <v>40.30177</v>
      </c>
      <c r="W17" s="3">
        <v>51.63254</v>
      </c>
      <c r="X17" s="3">
        <v>35.6325</v>
      </c>
      <c r="Y17" s="3">
        <v>37.37876</v>
      </c>
      <c r="Z17" s="3">
        <v>67.0741</v>
      </c>
      <c r="AA17" s="3">
        <v>157.92497</v>
      </c>
      <c r="AB17" s="15">
        <f t="shared" si="10"/>
        <v>83341176246.6776</v>
      </c>
      <c r="AC17" s="15">
        <f t="shared" si="11"/>
        <v>39843921333.162</v>
      </c>
      <c r="AD17" s="15">
        <f t="shared" si="12"/>
        <v>720199153737.388</v>
      </c>
      <c r="AE17" s="11">
        <f t="shared" si="13"/>
        <v>8.43384251317228</v>
      </c>
      <c r="AG17" s="1"/>
      <c r="AH17" s="1"/>
      <c r="AI17" s="1"/>
      <c r="AJ17" s="1"/>
      <c r="AL17" s="1"/>
      <c r="AM17" s="1"/>
      <c r="AN17" s="1"/>
      <c r="AO17" s="1"/>
    </row>
    <row r="18" spans="1:41">
      <c r="A18" s="2">
        <v>2034</v>
      </c>
      <c r="B18" s="2">
        <v>31657</v>
      </c>
      <c r="C18" s="7">
        <f t="shared" si="0"/>
        <v>0.317654298463266</v>
      </c>
      <c r="D18" s="8">
        <v>0.250406521756049</v>
      </c>
      <c r="E18" s="8">
        <v>0.0672477767072169</v>
      </c>
      <c r="F18" s="9">
        <v>0.682345701536734</v>
      </c>
      <c r="G18" s="2">
        <v>401608</v>
      </c>
      <c r="H18" s="4">
        <f t="shared" si="1"/>
        <v>93985.8564678595</v>
      </c>
      <c r="I18" s="2">
        <v>69423.0106726824</v>
      </c>
      <c r="J18" s="2">
        <v>24562.8457951771</v>
      </c>
      <c r="K18" s="2">
        <v>307622.509156122</v>
      </c>
      <c r="L18" s="10">
        <f t="shared" si="2"/>
        <v>10055.9821264516</v>
      </c>
      <c r="M18" s="10">
        <f t="shared" si="6"/>
        <v>2193.96273607369</v>
      </c>
      <c r="N18" s="4">
        <f t="shared" si="3"/>
        <v>7927.11925923125</v>
      </c>
      <c r="O18" s="4">
        <f t="shared" si="7"/>
        <v>1755.13030455135</v>
      </c>
      <c r="P18" s="4">
        <f t="shared" si="4"/>
        <v>2128.86286722036</v>
      </c>
      <c r="Q18" s="4">
        <f t="shared" si="8"/>
        <v>438.832431522347</v>
      </c>
      <c r="R18" s="4">
        <f t="shared" si="5"/>
        <v>21601.0178735484</v>
      </c>
      <c r="S18" s="4">
        <f t="shared" si="9"/>
        <v>23118.2213783107</v>
      </c>
      <c r="T18" s="3">
        <v>12100</v>
      </c>
      <c r="U18" s="3">
        <v>12100</v>
      </c>
      <c r="V18" s="2">
        <v>39.42017</v>
      </c>
      <c r="W18" s="3">
        <v>50.4176</v>
      </c>
      <c r="X18" s="3">
        <v>34.79038</v>
      </c>
      <c r="Y18" s="3">
        <v>35.36361</v>
      </c>
      <c r="Z18" s="3">
        <v>64.11057</v>
      </c>
      <c r="AA18" s="3">
        <v>156.22634</v>
      </c>
      <c r="AB18" s="15">
        <f t="shared" si="10"/>
        <v>86422726689.7648</v>
      </c>
      <c r="AC18" s="15">
        <f t="shared" si="11"/>
        <v>38535116745.214</v>
      </c>
      <c r="AD18" s="15">
        <f t="shared" si="12"/>
        <v>717909371423.306</v>
      </c>
      <c r="AE18" s="11">
        <f t="shared" si="13"/>
        <v>8.42867214858285</v>
      </c>
      <c r="AG18" s="1"/>
      <c r="AH18" s="1"/>
      <c r="AI18" s="1"/>
      <c r="AJ18" s="1"/>
      <c r="AL18" s="1"/>
      <c r="AM18" s="1"/>
      <c r="AN18" s="1"/>
      <c r="AO18" s="1"/>
    </row>
    <row r="19" spans="1:41">
      <c r="A19" s="2">
        <v>2035</v>
      </c>
      <c r="B19" s="2">
        <v>31591</v>
      </c>
      <c r="C19" s="7">
        <f t="shared" si="0"/>
        <v>0.318632223552804</v>
      </c>
      <c r="D19" s="8">
        <v>0.257533354958395</v>
      </c>
      <c r="E19" s="8">
        <v>0.0610988685944089</v>
      </c>
      <c r="F19" s="9">
        <v>0.681367776447196</v>
      </c>
      <c r="G19" s="2">
        <v>407260</v>
      </c>
      <c r="H19" s="4">
        <f t="shared" si="1"/>
        <v>101307.497986155</v>
      </c>
      <c r="I19" s="2">
        <v>75393.969747526</v>
      </c>
      <c r="J19" s="2">
        <v>25913.5282386288</v>
      </c>
      <c r="K19" s="2">
        <v>305953.427966065</v>
      </c>
      <c r="L19" s="10">
        <f t="shared" si="2"/>
        <v>10065.9105742566</v>
      </c>
      <c r="M19" s="10">
        <f t="shared" si="6"/>
        <v>2744.26905596128</v>
      </c>
      <c r="N19" s="4">
        <f t="shared" si="3"/>
        <v>8135.73621649064</v>
      </c>
      <c r="O19" s="4">
        <f t="shared" si="7"/>
        <v>2164.77714164702</v>
      </c>
      <c r="P19" s="4">
        <f t="shared" si="4"/>
        <v>1930.17435776597</v>
      </c>
      <c r="Q19" s="4">
        <f t="shared" si="8"/>
        <v>579.491914314243</v>
      </c>
      <c r="R19" s="4">
        <f t="shared" si="5"/>
        <v>21525.0894257434</v>
      </c>
      <c r="S19" s="4">
        <f t="shared" si="9"/>
        <v>23194.1706158004</v>
      </c>
      <c r="T19" s="3">
        <v>12250</v>
      </c>
      <c r="U19" s="3">
        <v>12250</v>
      </c>
      <c r="V19" s="2">
        <v>38.65368</v>
      </c>
      <c r="W19" s="3">
        <v>49.22072</v>
      </c>
      <c r="X19" s="3">
        <v>33.95363</v>
      </c>
      <c r="Y19" s="3">
        <v>33.36757</v>
      </c>
      <c r="Z19" s="3">
        <v>61.38404</v>
      </c>
      <c r="AA19" s="3">
        <v>154.63978</v>
      </c>
      <c r="AB19" s="15">
        <f t="shared" si="10"/>
        <v>88602482659.1562</v>
      </c>
      <c r="AC19" s="15">
        <f t="shared" si="11"/>
        <v>36942883944.9943</v>
      </c>
      <c r="AD19" s="15">
        <f t="shared" si="12"/>
        <v>713873584120.691</v>
      </c>
      <c r="AE19" s="11">
        <f t="shared" si="13"/>
        <v>8.39418950724841</v>
      </c>
      <c r="AG19" s="1"/>
      <c r="AH19" s="1"/>
      <c r="AI19" s="1"/>
      <c r="AJ19" s="1"/>
      <c r="AL19" s="1"/>
      <c r="AM19" s="1"/>
      <c r="AN19" s="1"/>
      <c r="AO19" s="1"/>
    </row>
    <row r="20" spans="1:41">
      <c r="A20" s="2">
        <v>2036</v>
      </c>
      <c r="B20" s="2">
        <v>31484</v>
      </c>
      <c r="C20" s="7">
        <f t="shared" si="0"/>
        <v>0.317851862165086</v>
      </c>
      <c r="D20" s="8">
        <v>0.25945298034334</v>
      </c>
      <c r="E20" s="8">
        <v>0.0583988818217463</v>
      </c>
      <c r="F20" s="9">
        <v>0.682148137834914</v>
      </c>
      <c r="G20" s="2">
        <v>412157</v>
      </c>
      <c r="H20" s="4">
        <f t="shared" si="1"/>
        <v>107948.745657663</v>
      </c>
      <c r="I20" s="2">
        <v>80932.8211950315</v>
      </c>
      <c r="J20" s="2">
        <v>27015.9244626316</v>
      </c>
      <c r="K20" s="2">
        <v>304209.300002787</v>
      </c>
      <c r="L20" s="10">
        <f t="shared" si="2"/>
        <v>10007.2480284056</v>
      </c>
      <c r="M20" s="10">
        <f t="shared" si="6"/>
        <v>3366.00035689723</v>
      </c>
      <c r="N20" s="4">
        <f t="shared" si="3"/>
        <v>8168.61763312971</v>
      </c>
      <c r="O20" s="4">
        <f t="shared" si="7"/>
        <v>2629.7661856242</v>
      </c>
      <c r="P20" s="4">
        <f t="shared" si="4"/>
        <v>1838.63039527586</v>
      </c>
      <c r="Q20" s="4">
        <f t="shared" si="8"/>
        <v>736.23417127303</v>
      </c>
      <c r="R20" s="4">
        <f t="shared" si="5"/>
        <v>21476.7519715944</v>
      </c>
      <c r="S20" s="4">
        <f t="shared" si="9"/>
        <v>23220.8799348724</v>
      </c>
      <c r="T20" s="3">
        <v>12400</v>
      </c>
      <c r="U20" s="3">
        <v>12400</v>
      </c>
      <c r="V20" s="2">
        <v>37.91339</v>
      </c>
      <c r="W20" s="3">
        <v>48.09758</v>
      </c>
      <c r="X20" s="3">
        <v>33.08415</v>
      </c>
      <c r="Y20" s="3">
        <v>31.47324</v>
      </c>
      <c r="Z20" s="3">
        <v>58.78709</v>
      </c>
      <c r="AA20" s="3">
        <v>153.17</v>
      </c>
      <c r="AB20" s="15">
        <f t="shared" si="10"/>
        <v>89189701918.2637</v>
      </c>
      <c r="AC20" s="15">
        <f t="shared" si="11"/>
        <v>36142189117.0038</v>
      </c>
      <c r="AD20" s="15">
        <f t="shared" si="12"/>
        <v>709947612745.524</v>
      </c>
      <c r="AE20" s="11">
        <f t="shared" si="13"/>
        <v>8.35279503780792</v>
      </c>
      <c r="AG20" s="1"/>
      <c r="AH20" s="1"/>
      <c r="AI20" s="1"/>
      <c r="AJ20" s="1"/>
      <c r="AL20" s="1"/>
      <c r="AM20" s="1"/>
      <c r="AN20" s="1"/>
      <c r="AO20" s="1"/>
    </row>
    <row r="21" spans="1:41">
      <c r="A21" s="2">
        <v>2037</v>
      </c>
      <c r="B21" s="2">
        <v>31388</v>
      </c>
      <c r="C21" s="7">
        <f t="shared" si="0"/>
        <v>0.317843532193353</v>
      </c>
      <c r="D21" s="8">
        <v>0.262208314768073</v>
      </c>
      <c r="E21" s="8">
        <v>0.0556352174252805</v>
      </c>
      <c r="F21" s="9">
        <v>0.682156467806647</v>
      </c>
      <c r="G21" s="2">
        <v>416303</v>
      </c>
      <c r="H21" s="4">
        <f t="shared" si="1"/>
        <v>113857.64656633</v>
      </c>
      <c r="I21" s="2">
        <v>86011.3440448509</v>
      </c>
      <c r="J21" s="2">
        <v>27846.3025214793</v>
      </c>
      <c r="K21" s="2">
        <v>302445.086558066</v>
      </c>
      <c r="L21" s="10">
        <f t="shared" si="2"/>
        <v>9976.47278848498</v>
      </c>
      <c r="M21" s="10">
        <f t="shared" si="6"/>
        <v>4067.57187981789</v>
      </c>
      <c r="N21" s="4">
        <f t="shared" si="3"/>
        <v>8230.19458394027</v>
      </c>
      <c r="O21" s="4">
        <f t="shared" si="7"/>
        <v>3151.67173412092</v>
      </c>
      <c r="P21" s="4">
        <f t="shared" si="4"/>
        <v>1746.2782045447</v>
      </c>
      <c r="Q21" s="4">
        <f t="shared" si="8"/>
        <v>915.900145696971</v>
      </c>
      <c r="R21" s="4">
        <f t="shared" si="5"/>
        <v>21411.527211515</v>
      </c>
      <c r="S21" s="4">
        <f t="shared" si="9"/>
        <v>23175.7406562357</v>
      </c>
      <c r="T21" s="3">
        <v>12540</v>
      </c>
      <c r="U21" s="3">
        <v>12540</v>
      </c>
      <c r="V21" s="2">
        <v>37.23329</v>
      </c>
      <c r="W21" s="3">
        <v>46.99072</v>
      </c>
      <c r="X21" s="3">
        <v>32.26226</v>
      </c>
      <c r="Y21" s="3">
        <v>29.60413</v>
      </c>
      <c r="Z21" s="3">
        <v>56.21468</v>
      </c>
      <c r="AA21" s="3">
        <v>151.81923</v>
      </c>
      <c r="AB21" s="15">
        <f t="shared" si="10"/>
        <v>89571330674.4765</v>
      </c>
      <c r="AC21" s="15">
        <f t="shared" si="11"/>
        <v>35065025632.8345</v>
      </c>
      <c r="AD21" s="15">
        <f t="shared" si="12"/>
        <v>705735450097.998</v>
      </c>
      <c r="AE21" s="11">
        <f t="shared" si="13"/>
        <v>8.30371806405309</v>
      </c>
      <c r="AG21" s="1"/>
      <c r="AH21" s="1"/>
      <c r="AI21" s="1"/>
      <c r="AJ21" s="1"/>
      <c r="AL21" s="1"/>
      <c r="AM21" s="1"/>
      <c r="AN21" s="1"/>
      <c r="AO21" s="1"/>
    </row>
    <row r="22" spans="1:41">
      <c r="A22" s="2">
        <v>2038</v>
      </c>
      <c r="B22" s="2">
        <v>31354</v>
      </c>
      <c r="C22" s="7">
        <f t="shared" si="0"/>
        <v>0.326731731264237</v>
      </c>
      <c r="D22" s="8">
        <v>0.267911710400075</v>
      </c>
      <c r="E22" s="8">
        <v>0.0588200208641614</v>
      </c>
      <c r="F22" s="9">
        <v>0.673268268735763</v>
      </c>
      <c r="G22" s="2">
        <v>419771</v>
      </c>
      <c r="H22" s="4">
        <f t="shared" si="1"/>
        <v>119281.408698359</v>
      </c>
      <c r="I22" s="2">
        <v>90699.0433046017</v>
      </c>
      <c r="J22" s="2">
        <v>28582.3653937573</v>
      </c>
      <c r="K22" s="2">
        <v>300489.858800894</v>
      </c>
      <c r="L22" s="10">
        <f t="shared" si="2"/>
        <v>10244.3467020589</v>
      </c>
      <c r="M22" s="10">
        <f t="shared" si="6"/>
        <v>4820.58457003007</v>
      </c>
      <c r="N22" s="4">
        <f t="shared" si="3"/>
        <v>8400.10376788396</v>
      </c>
      <c r="O22" s="4">
        <f t="shared" si="7"/>
        <v>3712.40450813313</v>
      </c>
      <c r="P22" s="4">
        <f t="shared" si="4"/>
        <v>1844.24293417492</v>
      </c>
      <c r="Q22" s="4">
        <f t="shared" si="8"/>
        <v>1108.18006189694</v>
      </c>
      <c r="R22" s="4">
        <f t="shared" si="5"/>
        <v>21109.6532979411</v>
      </c>
      <c r="S22" s="4">
        <f t="shared" si="9"/>
        <v>23064.8810551133</v>
      </c>
      <c r="T22" s="3">
        <v>12700</v>
      </c>
      <c r="U22" s="3">
        <v>12700</v>
      </c>
      <c r="V22" s="2">
        <v>36.53469</v>
      </c>
      <c r="W22" s="3">
        <v>45.90008</v>
      </c>
      <c r="X22" s="3">
        <v>31.44949</v>
      </c>
      <c r="Y22" s="3">
        <v>27.9161</v>
      </c>
      <c r="Z22" s="3">
        <v>53.88194</v>
      </c>
      <c r="AA22" s="3">
        <v>150.52056</v>
      </c>
      <c r="AB22" s="15">
        <f t="shared" si="10"/>
        <v>90619470395.2875</v>
      </c>
      <c r="AC22" s="15">
        <f t="shared" si="11"/>
        <v>35684926985.0383</v>
      </c>
      <c r="AD22" s="15">
        <f t="shared" si="12"/>
        <v>700890384798.691</v>
      </c>
      <c r="AE22" s="11">
        <f t="shared" si="13"/>
        <v>8.27194782179017</v>
      </c>
      <c r="AG22" s="1"/>
      <c r="AH22" s="1"/>
      <c r="AI22" s="1"/>
      <c r="AJ22" s="1"/>
      <c r="AL22" s="1"/>
      <c r="AM22" s="1"/>
      <c r="AN22" s="1"/>
      <c r="AO22" s="1"/>
    </row>
    <row r="23" spans="1:41">
      <c r="A23" s="2">
        <v>2039</v>
      </c>
      <c r="B23" s="2">
        <v>31390</v>
      </c>
      <c r="C23" s="7">
        <f t="shared" si="0"/>
        <v>0.356712645503289</v>
      </c>
      <c r="D23" s="8">
        <v>0.296357915905703</v>
      </c>
      <c r="E23" s="8">
        <v>0.0603547295975854</v>
      </c>
      <c r="F23" s="9">
        <v>0.643287354496711</v>
      </c>
      <c r="G23" s="2">
        <v>422668</v>
      </c>
      <c r="H23" s="4">
        <f t="shared" si="1"/>
        <v>124839.995464472</v>
      </c>
      <c r="I23" s="2">
        <v>95681.1336603316</v>
      </c>
      <c r="J23" s="2">
        <v>29158.8618041403</v>
      </c>
      <c r="K23" s="2">
        <v>297827.704529606</v>
      </c>
      <c r="L23" s="10">
        <f t="shared" si="2"/>
        <v>11197.2099423482</v>
      </c>
      <c r="M23" s="10">
        <f t="shared" si="6"/>
        <v>5638.62317623541</v>
      </c>
      <c r="N23" s="4">
        <f t="shared" si="3"/>
        <v>9302.67498028003</v>
      </c>
      <c r="O23" s="4">
        <f t="shared" si="7"/>
        <v>4320.58462455015</v>
      </c>
      <c r="P23" s="4">
        <f t="shared" si="4"/>
        <v>1894.53496206821</v>
      </c>
      <c r="Q23" s="4">
        <f t="shared" si="8"/>
        <v>1318.03855168526</v>
      </c>
      <c r="R23" s="4">
        <f t="shared" si="5"/>
        <v>20192.7900576518</v>
      </c>
      <c r="S23" s="4">
        <f t="shared" si="9"/>
        <v>22854.9443289395</v>
      </c>
      <c r="T23" s="3">
        <v>12840</v>
      </c>
      <c r="U23" s="3">
        <v>12840</v>
      </c>
      <c r="V23" s="2">
        <v>35.88822</v>
      </c>
      <c r="W23" s="3">
        <v>44.87896</v>
      </c>
      <c r="X23" s="3">
        <v>30.64709</v>
      </c>
      <c r="Y23" s="3">
        <v>26.33011</v>
      </c>
      <c r="Z23" s="3">
        <v>51.68099</v>
      </c>
      <c r="AA23" s="3">
        <v>149.34523</v>
      </c>
      <c r="AB23" s="15">
        <f t="shared" si="10"/>
        <v>96648496454.4231</v>
      </c>
      <c r="AC23" s="15">
        <f t="shared" si="11"/>
        <v>35725120115.066</v>
      </c>
      <c r="AD23" s="15">
        <f t="shared" si="12"/>
        <v>690302806876.321</v>
      </c>
      <c r="AE23" s="11">
        <f t="shared" si="13"/>
        <v>8.2267642344581</v>
      </c>
      <c r="AG23" s="1"/>
      <c r="AH23" s="1"/>
      <c r="AI23" s="1"/>
      <c r="AJ23" s="1"/>
      <c r="AL23" s="1"/>
      <c r="AM23" s="1"/>
      <c r="AN23" s="1"/>
      <c r="AO23" s="1"/>
    </row>
    <row r="24" spans="1:41">
      <c r="A24" s="2">
        <v>2040</v>
      </c>
      <c r="B24" s="2">
        <v>31159</v>
      </c>
      <c r="C24" s="7">
        <f t="shared" si="0"/>
        <v>0.385768622883877</v>
      </c>
      <c r="D24" s="8">
        <v>0.323993414060787</v>
      </c>
      <c r="E24" s="8">
        <v>0.0617752088230906</v>
      </c>
      <c r="F24" s="9">
        <v>0.614231377116123</v>
      </c>
      <c r="G24" s="2">
        <v>424773</v>
      </c>
      <c r="H24" s="4">
        <f t="shared" si="1"/>
        <v>130410.466471601</v>
      </c>
      <c r="I24" s="2">
        <v>100864.175661551</v>
      </c>
      <c r="J24" s="2">
        <v>29546.29081005</v>
      </c>
      <c r="K24" s="2">
        <v>294361.646253634</v>
      </c>
      <c r="L24" s="10">
        <f t="shared" si="2"/>
        <v>12020.1645204387</v>
      </c>
      <c r="M24" s="10">
        <f t="shared" si="6"/>
        <v>6449.69351330967</v>
      </c>
      <c r="N24" s="4">
        <f t="shared" si="3"/>
        <v>10095.3107887201</v>
      </c>
      <c r="O24" s="4">
        <f t="shared" si="7"/>
        <v>4912.2687875008</v>
      </c>
      <c r="P24" s="4">
        <f t="shared" si="4"/>
        <v>1924.85373171868</v>
      </c>
      <c r="Q24" s="4">
        <f t="shared" si="8"/>
        <v>1537.42472580889</v>
      </c>
      <c r="R24" s="4">
        <f t="shared" si="5"/>
        <v>19138.8354795613</v>
      </c>
      <c r="S24" s="4">
        <f t="shared" si="9"/>
        <v>22604.8937555335</v>
      </c>
      <c r="T24" s="3">
        <v>12990</v>
      </c>
      <c r="U24" s="3">
        <v>12990</v>
      </c>
      <c r="V24" s="2">
        <v>35.28886</v>
      </c>
      <c r="W24" s="3">
        <v>43.87239</v>
      </c>
      <c r="X24" s="3">
        <v>29.85628</v>
      </c>
      <c r="Y24" s="3">
        <v>24.77139</v>
      </c>
      <c r="Z24" s="3">
        <v>49.61097</v>
      </c>
      <c r="AA24" s="3">
        <v>148.29027</v>
      </c>
      <c r="AB24" s="15">
        <f t="shared" si="10"/>
        <v>101871814331.273</v>
      </c>
      <c r="AC24" s="15">
        <f t="shared" si="11"/>
        <v>35495683573.47</v>
      </c>
      <c r="AD24" s="15">
        <f t="shared" si="12"/>
        <v>678366176198.683</v>
      </c>
      <c r="AE24" s="11">
        <f t="shared" si="13"/>
        <v>8.15733674103426</v>
      </c>
      <c r="AG24" s="1"/>
      <c r="AH24" s="1"/>
      <c r="AI24" s="1"/>
      <c r="AJ24" s="1"/>
      <c r="AL24" s="1"/>
      <c r="AM24" s="1"/>
      <c r="AN24" s="1"/>
      <c r="AO24" s="1"/>
    </row>
    <row r="25" spans="1:41">
      <c r="A25" s="2">
        <v>2041</v>
      </c>
      <c r="B25" s="2">
        <v>31288</v>
      </c>
      <c r="F25" s="9"/>
      <c r="M25" s="17"/>
      <c r="T25" s="3">
        <v>13140</v>
      </c>
      <c r="U25" s="3">
        <v>13140</v>
      </c>
      <c r="V25" s="2"/>
    </row>
    <row r="26" spans="1:41">
      <c r="A26" s="2">
        <v>2042</v>
      </c>
      <c r="B26" s="2">
        <v>31331</v>
      </c>
      <c r="F26" s="9"/>
      <c r="T26" s="3">
        <v>13270</v>
      </c>
      <c r="U26" s="3">
        <v>13270</v>
      </c>
      <c r="V26" s="2"/>
    </row>
    <row r="27" spans="1:41">
      <c r="A27" s="2">
        <v>2043</v>
      </c>
      <c r="B27" s="2">
        <v>31300</v>
      </c>
      <c r="F27" s="9"/>
      <c r="T27" s="3">
        <v>13390</v>
      </c>
      <c r="U27" s="3">
        <v>13390</v>
      </c>
      <c r="V27" s="2"/>
      <c r="AE27" s="3">
        <f>SUM(AE5:AE24)</f>
        <v>163.85620875171</v>
      </c>
    </row>
    <row r="28" spans="1:41">
      <c r="A28" s="2">
        <v>2044</v>
      </c>
      <c r="B28" s="2">
        <v>31233</v>
      </c>
      <c r="F28" s="9"/>
      <c r="T28" s="3">
        <v>13510</v>
      </c>
      <c r="U28" s="3">
        <v>13510</v>
      </c>
      <c r="V28" s="2"/>
    </row>
    <row r="29" spans="1:41">
      <c r="A29" s="2">
        <v>2045</v>
      </c>
      <c r="B29" s="2">
        <v>31117</v>
      </c>
      <c r="F29" s="9"/>
      <c r="O29" s="17"/>
      <c r="T29" s="3">
        <v>13620</v>
      </c>
      <c r="U29" s="3">
        <v>13620</v>
      </c>
      <c r="V29" s="2"/>
    </row>
    <row r="30" spans="1:41">
      <c r="A30" s="2">
        <v>2046</v>
      </c>
      <c r="B30" s="2">
        <v>30947</v>
      </c>
      <c r="F30" s="9"/>
      <c r="T30" s="3">
        <v>13720</v>
      </c>
      <c r="U30" s="3">
        <v>13720</v>
      </c>
      <c r="V30" s="2"/>
    </row>
    <row r="31" spans="1:41">
      <c r="A31" s="2">
        <v>2047</v>
      </c>
      <c r="B31" s="2">
        <v>30717</v>
      </c>
      <c r="F31" s="9"/>
      <c r="T31" s="3">
        <v>13800</v>
      </c>
      <c r="U31" s="3">
        <v>13800</v>
      </c>
      <c r="V31" s="2"/>
    </row>
    <row r="32" spans="1:41">
      <c r="A32" s="2">
        <v>2048</v>
      </c>
      <c r="B32" s="2">
        <v>30435</v>
      </c>
      <c r="F32" s="9"/>
      <c r="T32" s="3">
        <v>13880</v>
      </c>
      <c r="U32" s="3">
        <v>13880</v>
      </c>
      <c r="V32" s="2"/>
    </row>
    <row r="33" spans="1:28">
      <c r="A33" s="2">
        <v>2049</v>
      </c>
      <c r="B33" s="2">
        <v>30101</v>
      </c>
      <c r="F33" s="9"/>
      <c r="T33" s="3">
        <v>13950</v>
      </c>
      <c r="U33" s="3">
        <v>13950</v>
      </c>
      <c r="V33" s="2"/>
    </row>
    <row r="34" spans="1:28">
      <c r="A34" s="2">
        <v>2050</v>
      </c>
      <c r="B34" s="2">
        <v>29716</v>
      </c>
      <c r="F34" s="9"/>
      <c r="T34" s="3">
        <v>14020</v>
      </c>
      <c r="U34" s="3">
        <v>14020</v>
      </c>
    </row>
    <row r="35" spans="1:28">
      <c r="I35" s="18"/>
      <c r="AB35" s="6"/>
    </row>
    <row r="36" spans="1:28">
      <c r="G36" s="19"/>
      <c r="I36" s="18"/>
      <c r="L36" s="19"/>
      <c r="M36" s="19"/>
      <c r="S36" s="19"/>
    </row>
    <row r="37" spans="1:28">
      <c r="I37" s="18"/>
      <c r="L37" s="17"/>
      <c r="M37" s="17"/>
    </row>
    <row r="38" spans="1:28">
      <c r="I38" s="18"/>
      <c r="L38" s="17"/>
      <c r="M38" s="17"/>
    </row>
    <row r="39" spans="1:28">
      <c r="I39" s="18"/>
      <c r="L39" s="17"/>
      <c r="M39" s="17"/>
    </row>
    <row r="40" spans="1:28">
      <c r="B40" s="3"/>
      <c r="I40" s="18"/>
      <c r="L40" s="17"/>
      <c r="M40" s="17"/>
    </row>
    <row r="41" spans="1:28">
      <c r="I41" s="18"/>
      <c r="L41" s="17"/>
      <c r="M41" s="17"/>
    </row>
    <row r="42" spans="1:28">
      <c r="I42" s="18"/>
      <c r="L42" s="17"/>
      <c r="M42" s="17"/>
    </row>
    <row r="43" spans="1:28">
      <c r="I43" s="18"/>
      <c r="L43" s="17"/>
      <c r="M43" s="17"/>
    </row>
    <row r="44" spans="1:28">
      <c r="I44" s="18"/>
      <c r="L44" s="17"/>
      <c r="M44" s="17"/>
    </row>
    <row r="45" spans="1:28">
      <c r="I45" s="18"/>
      <c r="L45" s="17"/>
      <c r="M45" s="17"/>
    </row>
    <row r="46" spans="1:28">
      <c r="I46" s="18"/>
      <c r="L46" s="17"/>
      <c r="M46" s="17"/>
    </row>
    <row r="47" spans="1:28">
      <c r="I47" s="18"/>
      <c r="L47" s="17"/>
      <c r="M47" s="17"/>
    </row>
    <row r="48" spans="1:28">
      <c r="I48" s="18"/>
      <c r="L48" s="17"/>
      <c r="M48" s="17"/>
    </row>
    <row r="49" spans="9:13">
      <c r="I49" s="18"/>
      <c r="L49" s="17"/>
      <c r="M49" s="17"/>
    </row>
    <row r="50" spans="9:13">
      <c r="I50" s="18"/>
      <c r="L50" s="17"/>
      <c r="M50" s="17"/>
    </row>
    <row r="51" spans="9:13">
      <c r="I51" s="18"/>
      <c r="L51" s="17"/>
      <c r="M51" s="17"/>
    </row>
    <row r="52" spans="9:13">
      <c r="I52" s="18"/>
      <c r="L52" s="17"/>
      <c r="M52" s="17"/>
    </row>
    <row r="53" spans="9:13">
      <c r="I53" s="18"/>
      <c r="L53" s="17"/>
      <c r="M53" s="17"/>
    </row>
    <row r="54" spans="9:13">
      <c r="I54" s="18"/>
      <c r="L54" s="17"/>
      <c r="M54" s="17"/>
    </row>
    <row r="55" spans="9:13">
      <c r="I55" s="18"/>
      <c r="L55" s="17"/>
      <c r="M55" s="17"/>
    </row>
    <row r="56" spans="9:13">
      <c r="I56" s="18"/>
      <c r="L56" s="17"/>
      <c r="M56" s="17"/>
    </row>
    <row r="57" spans="9:13">
      <c r="I57" s="18"/>
      <c r="L57" s="17"/>
      <c r="M57" s="17"/>
    </row>
    <row r="58" spans="9:13">
      <c r="I58" s="18"/>
      <c r="L58" s="17"/>
      <c r="M58" s="17"/>
    </row>
    <row r="59" spans="9:13">
      <c r="I59" s="18"/>
      <c r="M59" s="17"/>
    </row>
    <row r="60" spans="9:13">
      <c r="I60" s="18"/>
      <c r="M60" s="17"/>
    </row>
    <row r="61" spans="9:13">
      <c r="I61" s="18"/>
      <c r="M61" s="17"/>
    </row>
    <row r="62" spans="9:13">
      <c r="I62" s="18"/>
      <c r="M62" s="17"/>
    </row>
    <row r="63" spans="9:13">
      <c r="I63" s="18"/>
      <c r="M63" s="17"/>
    </row>
    <row r="64" spans="9:13">
      <c r="I64" s="18"/>
      <c r="M64" s="17"/>
    </row>
    <row r="65" spans="9:13">
      <c r="I65" s="18"/>
      <c r="M65" s="17"/>
    </row>
    <row r="66" spans="9:13">
      <c r="I66" s="18"/>
    </row>
    <row r="67" spans="9:13">
      <c r="I67" s="18"/>
    </row>
    <row r="68" spans="9:13">
      <c r="I68" s="18"/>
    </row>
    <row r="69" spans="9:13">
      <c r="I69" s="18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停止推广EV -2050碳中和</vt:lpstr>
      <vt:lpstr>限售配额</vt:lpstr>
      <vt:lpstr>停止推广EV</vt:lpstr>
      <vt:lpstr>2060碳中和-变动行为情景仿真</vt:lpstr>
      <vt:lpstr>2060碳中和-基准行为情景仿真</vt:lpstr>
      <vt:lpstr>2050碳中和-变动行为情景仿真</vt:lpstr>
      <vt:lpstr>2050碳中和-基准行为情景仿真 </vt:lpstr>
      <vt:lpstr>基准情景-变动行为情景仿真 </vt:lpstr>
      <vt:lpstr>基准排放-基准行为情景仿真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</dc:creator>
  <cp:lastModifiedBy>杨硕</cp:lastModifiedBy>
  <dcterms:created xsi:type="dcterms:W3CDTF">2015-06-05T18:19:00Z</dcterms:created>
  <dcterms:modified xsi:type="dcterms:W3CDTF">2026-07-28T14:30:20Z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E3633E1E0A914A828665CB9653330D7C_12</vt:lpwstr>
  </property>
  <property fmtid="{D5CDD505-2E9C-101B-9397-08002B2CF9AE}" pid="3" name="KSOProductBuildVer">
    <vt:lpwstr>2052-12.1.0.23542</vt:lpwstr>
  </property>
</Properties>
</file>