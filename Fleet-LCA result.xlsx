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 firstSheet="5" activeTab="8"/>
  </bookViews>
  <sheets>
    <sheet name="停止推广EV -2050碳中和" sheetId="19" r:id="rId1"/>
    <sheet name="限售配额" sheetId="17" r:id="rId2"/>
    <sheet name="停止推广EV" sheetId="15" r:id="rId3"/>
    <sheet name="2060碳中和-变动行为情景仿真" sheetId="2" r:id="rId4"/>
    <sheet name="2060碳中和-基准行为情景仿真" sheetId="4" r:id="rId5"/>
    <sheet name="2050碳中和-变动行为情景仿真" sheetId="6" r:id="rId6"/>
    <sheet name="2050碳中和-基准行为情景仿真 " sheetId="5" r:id="rId7"/>
    <sheet name="基准情景-变动行为情景仿真 " sheetId="8" r:id="rId8"/>
    <sheet name="基准排放-基准行为情景仿真" sheetId="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<sst xmlns="http://schemas.openxmlformats.org/spreadsheetml/2006/main" count="46" uniqueCount="10">
  <si>
    <t>Year</t>
  </si>
  <si>
    <t>Vehicle Sales (thousand)</t>
  </si>
  <si>
    <t>Vehicle Stock</t>
  </si>
  <si>
    <t>ICEV VKT (km/year)</t>
  </si>
  <si>
    <t>ICEV vehicle emission intensity</t>
  </si>
  <si>
    <t>ICEV fuel emission intensity</t>
  </si>
  <si>
    <t>ICEV Emission</t>
  </si>
  <si>
    <t>Total Emission</t>
  </si>
  <si>
    <t>BEV Emission</t>
  </si>
  <si>
    <t>PHEV Emission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</si>
</sst>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zoomScale="81" zoomScaleNormal="81" workbookViewId="0">
      <selection activeCell="I45" sqref="I45"/>
    </sheetView>
  </sheetViews>
  <sheetFormatPr defaultColWidth="9" defaultRowHeight="14.1"/>
  <cols>
    <col min="1" max="1" width="9" style="1"/>
    <col min="2" max="2" width="21.3583333333333" style="1" customWidth="1"/>
    <col min="3" max="3" width="16" style="1" customWidth="1"/>
    <col min="4" max="4" width="19.3583333333333" style="2" customWidth="1"/>
    <col min="5" max="6" width="17.1416666666667" style="2" customWidth="1"/>
    <col min="7" max="7" width="11.5" style="2" customWidth="1"/>
    <col min="8" max="8" width="13.8583333333333" style="2" customWidth="1"/>
    <col min="9" max="14" width="9" style="2"/>
    <col min="15" max="16" width="11.2083333333333" style="2" customWidth="1"/>
    <col min="17" max="17" width="12.6416666666667" style="2" customWidth="1"/>
    <col min="18" max="16384" width="9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J1" s="4"/>
    </row>
    <row r="2" spans="1:18">
      <c r="A2" s="1">
        <v>2018</v>
      </c>
      <c r="B2" s="1">
        <v>25411</v>
      </c>
      <c r="C2" s="1">
        <v>202332</v>
      </c>
      <c r="D2" s="2">
        <v>10790</v>
      </c>
    </row>
    <row r="3" spans="1:18">
      <c r="A3" s="1">
        <v>2019</v>
      </c>
      <c r="B3" s="1">
        <v>23562</v>
      </c>
      <c r="C3" s="1">
        <v>222992</v>
      </c>
      <c r="D3" s="2">
        <v>10590</v>
      </c>
    </row>
    <row r="4" spans="1:18">
      <c r="A4" s="1">
        <v>2020</v>
      </c>
      <c r="B4" s="1">
        <v>24584</v>
      </c>
      <c r="C4" s="1">
        <v>240900</v>
      </c>
      <c r="D4" s="2">
        <v>10560</v>
      </c>
      <c r="G4" s="7"/>
      <c r="H4" s="7"/>
    </row>
    <row r="5" s="5" customFormat="1" spans="1:18">
      <c r="A5" s="5">
        <v>2021</v>
      </c>
      <c r="B5" s="5">
        <v>25535</v>
      </c>
      <c r="C5" s="5">
        <v>258441</v>
      </c>
      <c r="D5" s="5">
        <v>10540</v>
      </c>
      <c r="E5" s="2">
        <v>60.36</v>
      </c>
      <c r="F5" s="2">
        <v>205.33</v>
      </c>
      <c r="G5" s="6">
        <f t="shared" ref="G5:G24" si="0">B5*D5*15*E5+C5*F5*D5</f>
        <v>802990738246.2</v>
      </c>
      <c r="H5" s="6">
        <f>(G5)/100000000000</f>
        <v>8.029907382462</v>
      </c>
    </row>
    <row r="6" spans="1:18">
      <c r="A6" s="1">
        <v>2022</v>
      </c>
      <c r="B6" s="1">
        <v>26419</v>
      </c>
      <c r="C6" s="1">
        <v>275271</v>
      </c>
      <c r="D6" s="2">
        <v>10530</v>
      </c>
      <c r="E6" s="2">
        <v>42.67227</v>
      </c>
      <c r="F6" s="2">
        <v>189.54605</v>
      </c>
      <c r="G6" s="6">
        <f t="shared" si="0"/>
        <v>727485175425.645</v>
      </c>
      <c r="H6" s="6">
        <f t="shared" ref="H6:H24" si="1">(G6)/100000000000</f>
        <v>7.27485175425645</v>
      </c>
      <c r="J6" s="5"/>
      <c r="K6" s="5"/>
      <c r="L6" s="5"/>
      <c r="M6" s="5"/>
      <c r="O6" s="5"/>
      <c r="P6" s="5"/>
      <c r="Q6" s="5"/>
      <c r="R6" s="5"/>
    </row>
    <row r="7" spans="1:18">
      <c r="A7" s="1">
        <v>2023</v>
      </c>
      <c r="B7" s="1">
        <v>27241</v>
      </c>
      <c r="C7" s="1">
        <v>291214</v>
      </c>
      <c r="D7" s="2">
        <v>10550</v>
      </c>
      <c r="E7" s="2">
        <v>39.9342</v>
      </c>
      <c r="F7" s="2">
        <v>178.8799</v>
      </c>
      <c r="G7" s="6">
        <f t="shared" si="0"/>
        <v>721725967698.38</v>
      </c>
      <c r="H7" s="6">
        <f t="shared" si="1"/>
        <v>7.2172596769838</v>
      </c>
      <c r="J7" s="5"/>
      <c r="K7" s="5"/>
      <c r="L7" s="5"/>
      <c r="M7" s="5"/>
      <c r="O7" s="5"/>
      <c r="P7" s="5"/>
      <c r="Q7" s="5"/>
      <c r="R7" s="5"/>
    </row>
    <row r="8" spans="1:18">
      <c r="A8" s="1">
        <v>2024</v>
      </c>
      <c r="B8" s="1">
        <v>27993</v>
      </c>
      <c r="C8" s="1">
        <v>306166</v>
      </c>
      <c r="D8" s="2">
        <v>10590</v>
      </c>
      <c r="E8" s="2">
        <v>37.98595</v>
      </c>
      <c r="F8" s="2">
        <v>171.22905</v>
      </c>
      <c r="G8" s="6">
        <f t="shared" si="0"/>
        <v>724087266016.054</v>
      </c>
      <c r="H8" s="6">
        <f t="shared" si="1"/>
        <v>7.24087266016054</v>
      </c>
      <c r="J8" s="5"/>
      <c r="K8" s="5"/>
      <c r="L8" s="5"/>
      <c r="M8" s="5"/>
      <c r="O8" s="5"/>
      <c r="P8" s="5"/>
      <c r="Q8" s="5"/>
      <c r="R8" s="5"/>
    </row>
    <row r="9" spans="1:18">
      <c r="A9" s="1">
        <v>2025</v>
      </c>
      <c r="B9" s="1">
        <v>28671</v>
      </c>
      <c r="C9" s="1">
        <v>320049</v>
      </c>
      <c r="D9" s="2">
        <v>10670</v>
      </c>
      <c r="E9" s="2">
        <v>36.52155</v>
      </c>
      <c r="F9" s="2">
        <v>165.22307</v>
      </c>
      <c r="G9" s="6">
        <f t="shared" si="0"/>
        <v>731813886861.691</v>
      </c>
      <c r="H9" s="6">
        <f t="shared" si="1"/>
        <v>7.31813886861691</v>
      </c>
      <c r="J9" s="5"/>
      <c r="K9" s="5"/>
      <c r="L9" s="5"/>
      <c r="M9" s="5"/>
      <c r="O9" s="5"/>
      <c r="P9" s="5"/>
      <c r="Q9" s="5"/>
      <c r="R9" s="5"/>
    </row>
    <row r="10" spans="1:18">
      <c r="A10" s="1">
        <v>2026</v>
      </c>
      <c r="B10" s="1">
        <v>29267</v>
      </c>
      <c r="C10" s="1">
        <v>332813</v>
      </c>
      <c r="D10" s="2">
        <v>10790</v>
      </c>
      <c r="E10" s="2">
        <v>35.33566</v>
      </c>
      <c r="F10" s="2">
        <v>160.34636</v>
      </c>
      <c r="G10" s="6">
        <f t="shared" si="0"/>
        <v>743192374067.694</v>
      </c>
      <c r="H10" s="6">
        <f t="shared" si="1"/>
        <v>7.43192374067694</v>
      </c>
      <c r="J10" s="5"/>
      <c r="K10" s="5"/>
      <c r="L10" s="5"/>
      <c r="M10" s="5"/>
      <c r="O10" s="5"/>
      <c r="P10" s="5"/>
      <c r="Q10" s="5"/>
      <c r="R10" s="5"/>
    </row>
    <row r="11" spans="1:18">
      <c r="A11" s="1">
        <v>2027</v>
      </c>
      <c r="B11" s="1">
        <v>29821</v>
      </c>
      <c r="C11" s="1">
        <v>344472</v>
      </c>
      <c r="D11" s="2">
        <v>10940</v>
      </c>
      <c r="E11" s="2">
        <v>34.24905</v>
      </c>
      <c r="F11" s="2">
        <v>156.69066</v>
      </c>
      <c r="G11" s="6">
        <f t="shared" si="0"/>
        <v>758094507625.034</v>
      </c>
      <c r="H11" s="6">
        <f t="shared" si="1"/>
        <v>7.58094507625034</v>
      </c>
      <c r="J11" s="5"/>
      <c r="K11" s="5"/>
      <c r="L11" s="5"/>
      <c r="M11" s="5"/>
      <c r="O11" s="5"/>
      <c r="P11" s="5"/>
      <c r="Q11" s="5"/>
      <c r="R11" s="5"/>
    </row>
    <row r="12" spans="1:18">
      <c r="A12" s="1">
        <v>2028</v>
      </c>
      <c r="B12" s="1">
        <v>30337</v>
      </c>
      <c r="C12" s="1">
        <v>355083</v>
      </c>
      <c r="D12" s="2">
        <v>11100</v>
      </c>
      <c r="E12" s="2">
        <v>33.334</v>
      </c>
      <c r="F12" s="2">
        <v>153.97254</v>
      </c>
      <c r="G12" s="6">
        <f t="shared" si="0"/>
        <v>775244366178.102</v>
      </c>
      <c r="H12" s="6">
        <f t="shared" si="1"/>
        <v>7.75244366178102</v>
      </c>
      <c r="J12" s="5"/>
      <c r="K12" s="5"/>
      <c r="L12" s="5"/>
      <c r="M12" s="5"/>
      <c r="O12" s="5"/>
      <c r="P12" s="5"/>
      <c r="Q12" s="5"/>
      <c r="R12" s="5"/>
    </row>
    <row r="13" spans="1:18">
      <c r="A13" s="1">
        <v>2029</v>
      </c>
      <c r="B13" s="1">
        <v>30767</v>
      </c>
      <c r="C13" s="1">
        <v>364714</v>
      </c>
      <c r="D13" s="2">
        <v>11270</v>
      </c>
      <c r="E13" s="2">
        <v>32.43809</v>
      </c>
      <c r="F13" s="2">
        <v>151.80099</v>
      </c>
      <c r="G13" s="6">
        <f t="shared" si="0"/>
        <v>792667414403.334</v>
      </c>
      <c r="H13" s="6">
        <f t="shared" si="1"/>
        <v>7.92667414403334</v>
      </c>
      <c r="J13" s="5"/>
      <c r="K13" s="5"/>
      <c r="L13" s="5"/>
      <c r="M13" s="5"/>
      <c r="O13" s="5"/>
      <c r="P13" s="5"/>
      <c r="Q13" s="5"/>
      <c r="R13" s="5"/>
    </row>
    <row r="14" spans="1:18">
      <c r="A14" s="1">
        <v>2030</v>
      </c>
      <c r="B14" s="1">
        <v>31057</v>
      </c>
      <c r="C14" s="1">
        <v>373443</v>
      </c>
      <c r="D14" s="2">
        <v>11440</v>
      </c>
      <c r="E14" s="2">
        <v>31.55315</v>
      </c>
      <c r="F14" s="2">
        <v>149.98153</v>
      </c>
      <c r="G14" s="6">
        <f t="shared" si="0"/>
        <v>808908045099.898</v>
      </c>
      <c r="H14" s="6">
        <f t="shared" si="1"/>
        <v>8.08908045099898</v>
      </c>
      <c r="J14" s="5"/>
      <c r="K14" s="5"/>
      <c r="L14" s="5"/>
      <c r="M14" s="5"/>
      <c r="O14" s="5"/>
      <c r="P14" s="5"/>
      <c r="Q14" s="5"/>
      <c r="R14" s="5"/>
    </row>
    <row r="15" spans="1:18">
      <c r="A15" s="1">
        <v>2031</v>
      </c>
      <c r="B15" s="1">
        <v>31116</v>
      </c>
      <c r="C15" s="1">
        <v>381268</v>
      </c>
      <c r="D15" s="2">
        <v>11620</v>
      </c>
      <c r="E15" s="2">
        <v>30.67267</v>
      </c>
      <c r="F15" s="2">
        <v>148.55958</v>
      </c>
      <c r="G15" s="6">
        <f t="shared" si="0"/>
        <v>824522384460.449</v>
      </c>
      <c r="H15" s="6">
        <f t="shared" si="1"/>
        <v>8.24522384460449</v>
      </c>
      <c r="J15" s="5"/>
      <c r="K15" s="5"/>
      <c r="L15" s="5"/>
      <c r="M15" s="5"/>
      <c r="O15" s="5"/>
      <c r="P15" s="5"/>
      <c r="Q15" s="5"/>
      <c r="R15" s="5"/>
    </row>
    <row r="16" spans="1:18">
      <c r="A16" s="1">
        <v>2032</v>
      </c>
      <c r="B16" s="1">
        <v>31274</v>
      </c>
      <c r="C16" s="1">
        <v>388489</v>
      </c>
      <c r="D16" s="2">
        <v>11780</v>
      </c>
      <c r="E16" s="2">
        <v>29.84067</v>
      </c>
      <c r="F16" s="2">
        <v>147.27796</v>
      </c>
      <c r="G16" s="6">
        <f t="shared" si="0"/>
        <v>838905915970.329</v>
      </c>
      <c r="H16" s="6">
        <f t="shared" si="1"/>
        <v>8.38905915970329</v>
      </c>
      <c r="J16" s="5"/>
      <c r="K16" s="5"/>
      <c r="L16" s="5"/>
      <c r="M16" s="5"/>
      <c r="O16" s="5"/>
      <c r="P16" s="5"/>
      <c r="Q16" s="5"/>
      <c r="R16" s="5"/>
    </row>
    <row r="17" spans="1:18">
      <c r="A17" s="1">
        <v>2033</v>
      </c>
      <c r="B17" s="1">
        <v>31474</v>
      </c>
      <c r="C17" s="1">
        <v>395263</v>
      </c>
      <c r="D17" s="2">
        <v>11940</v>
      </c>
      <c r="E17" s="2">
        <v>28.97158</v>
      </c>
      <c r="F17" s="2">
        <v>146.1221</v>
      </c>
      <c r="G17" s="6">
        <f t="shared" si="0"/>
        <v>852927121018.434</v>
      </c>
      <c r="H17" s="6">
        <f t="shared" si="1"/>
        <v>8.52927121018434</v>
      </c>
      <c r="J17" s="5"/>
      <c r="K17" s="5"/>
      <c r="L17" s="5"/>
      <c r="M17" s="5"/>
      <c r="O17" s="5"/>
      <c r="P17" s="5"/>
      <c r="Q17" s="5"/>
      <c r="R17" s="5"/>
    </row>
    <row r="18" spans="1:18">
      <c r="A18" s="1">
        <v>2034</v>
      </c>
      <c r="B18" s="1">
        <v>31657</v>
      </c>
      <c r="C18" s="1">
        <v>401608</v>
      </c>
      <c r="D18" s="2">
        <v>12100</v>
      </c>
      <c r="E18" s="2">
        <v>28.15421</v>
      </c>
      <c r="F18" s="2">
        <v>145.14329</v>
      </c>
      <c r="G18" s="6">
        <f t="shared" si="0"/>
        <v>867084472978.427</v>
      </c>
      <c r="H18" s="6">
        <f t="shared" si="1"/>
        <v>8.67084472978427</v>
      </c>
      <c r="J18" s="5"/>
      <c r="K18" s="5"/>
      <c r="L18" s="5"/>
      <c r="M18" s="5"/>
      <c r="O18" s="5"/>
      <c r="P18" s="5"/>
      <c r="Q18" s="5"/>
      <c r="R18" s="5"/>
    </row>
    <row r="19" spans="1:18">
      <c r="A19" s="1">
        <v>2035</v>
      </c>
      <c r="B19" s="1">
        <v>31591</v>
      </c>
      <c r="C19" s="1">
        <v>407260</v>
      </c>
      <c r="D19" s="2">
        <v>12250</v>
      </c>
      <c r="E19" s="2">
        <v>27.34673</v>
      </c>
      <c r="F19" s="2">
        <v>144.20036</v>
      </c>
      <c r="G19" s="6">
        <f t="shared" si="0"/>
        <v>878149786106.863</v>
      </c>
      <c r="H19" s="6">
        <f t="shared" si="1"/>
        <v>8.78149786106863</v>
      </c>
      <c r="J19" s="5"/>
      <c r="K19" s="5"/>
      <c r="L19" s="5"/>
      <c r="M19" s="5"/>
      <c r="O19" s="5"/>
      <c r="P19" s="5"/>
      <c r="Q19" s="5"/>
      <c r="R19" s="5"/>
    </row>
    <row r="20" spans="1:18">
      <c r="A20" s="1">
        <v>2036</v>
      </c>
      <c r="B20" s="1">
        <v>31484</v>
      </c>
      <c r="C20" s="1">
        <v>412157</v>
      </c>
      <c r="D20" s="2">
        <v>12400</v>
      </c>
      <c r="E20" s="2">
        <v>26.50942</v>
      </c>
      <c r="F20" s="2">
        <v>143.35048</v>
      </c>
      <c r="G20" s="6">
        <f t="shared" si="0"/>
        <v>887867806684.544</v>
      </c>
      <c r="H20" s="6">
        <f t="shared" si="1"/>
        <v>8.87867806684544</v>
      </c>
      <c r="J20" s="5"/>
      <c r="K20" s="5"/>
      <c r="L20" s="5"/>
      <c r="M20" s="5"/>
      <c r="O20" s="5"/>
      <c r="P20" s="5"/>
      <c r="Q20" s="5"/>
      <c r="R20" s="5"/>
    </row>
    <row r="21" spans="1:18">
      <c r="A21" s="1">
        <v>2037</v>
      </c>
      <c r="B21" s="1">
        <v>31388</v>
      </c>
      <c r="C21" s="1">
        <v>416303</v>
      </c>
      <c r="D21" s="2">
        <v>12540</v>
      </c>
      <c r="E21" s="2">
        <v>25.7279</v>
      </c>
      <c r="F21" s="2">
        <v>142.52768</v>
      </c>
      <c r="G21" s="6">
        <f t="shared" si="0"/>
        <v>895956799488.802</v>
      </c>
      <c r="H21" s="6">
        <f t="shared" si="1"/>
        <v>8.95956799488802</v>
      </c>
      <c r="J21" s="5"/>
      <c r="K21" s="5"/>
      <c r="L21" s="5"/>
      <c r="M21" s="5"/>
      <c r="O21" s="5"/>
      <c r="P21" s="5"/>
      <c r="Q21" s="5"/>
      <c r="R21" s="5"/>
    </row>
    <row r="22" spans="1:18">
      <c r="A22" s="1">
        <v>2038</v>
      </c>
      <c r="B22" s="1">
        <v>31354</v>
      </c>
      <c r="C22" s="1">
        <v>419771</v>
      </c>
      <c r="D22" s="2">
        <v>12700</v>
      </c>
      <c r="E22" s="2">
        <v>25.0017</v>
      </c>
      <c r="F22" s="2">
        <v>141.78611</v>
      </c>
      <c r="G22" s="6">
        <f t="shared" si="0"/>
        <v>905208333189.187</v>
      </c>
      <c r="H22" s="6">
        <f t="shared" si="1"/>
        <v>9.05208333189187</v>
      </c>
      <c r="J22" s="5"/>
      <c r="K22" s="5"/>
      <c r="L22" s="5"/>
      <c r="M22" s="5"/>
      <c r="O22" s="5"/>
      <c r="P22" s="5"/>
      <c r="Q22" s="5"/>
      <c r="R22" s="5"/>
    </row>
    <row r="23" spans="1:18">
      <c r="A23" s="1">
        <v>2039</v>
      </c>
      <c r="B23" s="1">
        <v>31390</v>
      </c>
      <c r="C23" s="1">
        <v>422668</v>
      </c>
      <c r="D23" s="2">
        <v>12840</v>
      </c>
      <c r="E23" s="2">
        <v>24.25185</v>
      </c>
      <c r="F23" s="2">
        <v>141.06451</v>
      </c>
      <c r="G23" s="6">
        <f t="shared" si="0"/>
        <v>912184902445.711</v>
      </c>
      <c r="H23" s="6">
        <f t="shared" si="1"/>
        <v>9.12184902445711</v>
      </c>
      <c r="J23" s="5"/>
      <c r="K23" s="5"/>
      <c r="L23" s="5"/>
      <c r="M23" s="5"/>
      <c r="O23" s="5"/>
      <c r="P23" s="5"/>
      <c r="Q23" s="5"/>
      <c r="R23" s="5"/>
    </row>
    <row r="24" spans="1:18">
      <c r="A24" s="1">
        <v>2040</v>
      </c>
      <c r="B24" s="1">
        <v>31159</v>
      </c>
      <c r="C24" s="1">
        <v>424773</v>
      </c>
      <c r="D24" s="2">
        <v>12990</v>
      </c>
      <c r="E24" s="2">
        <v>23.52094</v>
      </c>
      <c r="F24" s="2">
        <v>140.36127</v>
      </c>
      <c r="G24" s="6">
        <f t="shared" si="0"/>
        <v>917289009564.094</v>
      </c>
      <c r="H24" s="6">
        <f t="shared" si="1"/>
        <v>9.17289009564094</v>
      </c>
      <c r="J24" s="5"/>
      <c r="K24" s="5"/>
      <c r="L24" s="5"/>
      <c r="M24" s="5"/>
      <c r="O24" s="5"/>
      <c r="P24" s="5"/>
      <c r="Q24" s="5"/>
      <c r="R24" s="5"/>
    </row>
    <row r="25" spans="1:18">
      <c r="A25" s="1">
        <v>2041</v>
      </c>
      <c r="B25" s="1">
        <v>31288</v>
      </c>
      <c r="D25" s="2">
        <v>13140</v>
      </c>
    </row>
    <row r="26" spans="1:18">
      <c r="A26" s="1">
        <v>2042</v>
      </c>
      <c r="B26" s="1">
        <v>31331</v>
      </c>
      <c r="D26" s="2">
        <v>13270</v>
      </c>
    </row>
    <row r="27" spans="1:18">
      <c r="A27" s="1">
        <v>2043</v>
      </c>
      <c r="B27" s="1">
        <v>31300</v>
      </c>
      <c r="D27" s="2">
        <v>13390</v>
      </c>
    </row>
    <row r="28" spans="1:18">
      <c r="A28" s="1">
        <v>2044</v>
      </c>
      <c r="B28" s="1">
        <v>31233</v>
      </c>
      <c r="D28" s="2">
        <v>13510</v>
      </c>
      <c r="N28" s="5"/>
    </row>
    <row r="29" spans="1:18">
      <c r="A29" s="1">
        <v>2045</v>
      </c>
      <c r="B29" s="1">
        <v>31117</v>
      </c>
      <c r="D29" s="2">
        <v>13620</v>
      </c>
    </row>
    <row r="30" spans="1:18">
      <c r="A30" s="1">
        <v>2046</v>
      </c>
      <c r="B30" s="1">
        <v>30947</v>
      </c>
      <c r="D30" s="2">
        <v>13720</v>
      </c>
    </row>
    <row r="31" spans="1:18">
      <c r="A31" s="1">
        <v>2047</v>
      </c>
      <c r="B31" s="1">
        <v>30717</v>
      </c>
      <c r="D31" s="2">
        <v>13800</v>
      </c>
    </row>
    <row r="32" spans="1:18">
      <c r="A32" s="1">
        <v>2048</v>
      </c>
      <c r="B32" s="1">
        <v>30435</v>
      </c>
      <c r="D32" s="2">
        <v>13880</v>
      </c>
    </row>
    <row r="33" spans="1:14">
      <c r="A33" s="1">
        <v>2049</v>
      </c>
      <c r="B33" s="1">
        <v>30101</v>
      </c>
      <c r="D33" s="2">
        <v>13950</v>
      </c>
    </row>
    <row r="34" spans="1:14">
      <c r="A34" s="1">
        <v>2050</v>
      </c>
      <c r="B34" s="1">
        <v>29716</v>
      </c>
      <c r="D34" s="2">
        <v>14020</v>
      </c>
      <c r="N34" s="5"/>
    </row>
    <row r="36" spans="1:14">
      <c r="C36" s="12"/>
    </row>
    <row r="40" spans="1:14">
      <c r="B4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zoomScale="70" zoomScaleNormal="70" workbookViewId="0">
      <selection activeCell="A2" sqref="$A2:$XFD4"/>
    </sheetView>
  </sheetViews>
  <sheetFormatPr defaultColWidth="9" defaultRowHeight="14.1"/>
  <cols>
    <col min="1" max="1" width="9" style="1"/>
    <col min="2" max="2" width="13.1416666666667" style="2" customWidth="1"/>
    <col min="3" max="3" width="15.8583333333333" style="2" customWidth="1"/>
    <col min="4" max="4" width="11.7833333333333" style="2" customWidth="1"/>
    <col min="5" max="5" width="13.8583333333333" style="2" customWidth="1"/>
    <col min="6" max="11" width="9" style="2"/>
    <col min="12" max="12" width="14.7083333333333" style="2" customWidth="1"/>
    <col min="13" max="14" width="9" style="2"/>
    <col min="15" max="15" width="12.6416666666667" style="2" customWidth="1"/>
    <col min="16" max="16" width="12.2083333333333" style="2" customWidth="1"/>
    <col min="17" max="18" width="11.2083333333333" style="2" customWidth="1"/>
    <col min="19" max="19" width="12.6416666666667" style="2" customWidth="1"/>
    <col min="20" max="20" width="16" style="2" customWidth="1"/>
    <col min="21" max="21" width="13.3583333333333" style="2" customWidth="1"/>
    <col min="22" max="16384" width="9" style="2"/>
  </cols>
  <sheetData>
    <row r="1" s="3" customFormat="1" spans="1:17">
      <c r="A1" s="8" t="s">
        <v>0</v>
      </c>
      <c r="B1" s="3" t="s">
        <v>8</v>
      </c>
      <c r="C1" s="3" t="s">
        <v>9</v>
      </c>
      <c r="D1" s="3" t="s">
        <v>6</v>
      </c>
      <c r="E1" s="3" t="s">
        <v>7</v>
      </c>
      <c r="L1" s="9"/>
      <c r="Q1" s="9"/>
    </row>
    <row r="2" spans="1:17">
      <c r="A2" s="1">
        <v>2021</v>
      </c>
      <c r="B2" s="6">
        <v>26063902314.2707</v>
      </c>
      <c r="C2" s="6">
        <v>12109258476.7831</v>
      </c>
      <c r="D2" s="6">
        <v>766887292380.383</v>
      </c>
      <c r="E2" s="6">
        <v>8.05060453171437</v>
      </c>
    </row>
    <row r="3" spans="1:17">
      <c r="A3" s="1">
        <v>2022</v>
      </c>
      <c r="B3" s="6">
        <v>28837670084.6923</v>
      </c>
      <c r="C3" s="6">
        <v>11347110634.0542</v>
      </c>
      <c r="D3" s="6">
        <v>716316136373.145</v>
      </c>
      <c r="E3" s="7">
        <v>7.56500917091892</v>
      </c>
    </row>
    <row r="4" spans="1:17">
      <c r="A4" s="1">
        <v>2023</v>
      </c>
      <c r="B4" s="6">
        <v>33140248745.2935</v>
      </c>
      <c r="C4" s="6">
        <v>13415695295.4178</v>
      </c>
      <c r="D4" s="6">
        <v>707337384408.827</v>
      </c>
      <c r="E4" s="7">
        <v>7.53893328449538</v>
      </c>
    </row>
    <row r="5" spans="1:17">
      <c r="A5" s="1">
        <v>2024</v>
      </c>
      <c r="B5" s="6">
        <v>42971906129.012</v>
      </c>
      <c r="C5" s="6">
        <v>16266801901.6992</v>
      </c>
      <c r="D5" s="6">
        <v>699711788697.801</v>
      </c>
      <c r="E5" s="7">
        <v>7.58950496728512</v>
      </c>
    </row>
    <row r="6" spans="1:17">
      <c r="A6" s="1">
        <v>2025</v>
      </c>
      <c r="B6" s="6">
        <v>56961341003.7622</v>
      </c>
      <c r="C6" s="6">
        <v>19663970567.0837</v>
      </c>
      <c r="D6" s="6">
        <v>690415280045.193</v>
      </c>
      <c r="E6" s="7">
        <v>7.67040591616039</v>
      </c>
    </row>
    <row r="7" spans="1:17">
      <c r="A7" s="1">
        <v>2026</v>
      </c>
      <c r="B7" s="6">
        <v>58419149012.0624</v>
      </c>
      <c r="C7" s="6">
        <v>21343056340.0559</v>
      </c>
      <c r="D7" s="6">
        <v>690930675525.128</v>
      </c>
      <c r="E7" s="7">
        <v>7.70692880877246</v>
      </c>
    </row>
    <row r="8" spans="1:17">
      <c r="A8" s="1">
        <v>2027</v>
      </c>
      <c r="B8" s="6">
        <v>61697582829.5738</v>
      </c>
      <c r="C8" s="6">
        <v>24514414030.9699</v>
      </c>
      <c r="D8" s="6">
        <v>692416597845.946</v>
      </c>
      <c r="E8" s="7">
        <v>7.7862859470649</v>
      </c>
    </row>
    <row r="9" spans="1:17">
      <c r="A9" s="1">
        <v>2028</v>
      </c>
      <c r="B9" s="6">
        <v>64951528042.3705</v>
      </c>
      <c r="C9" s="6">
        <v>29262544741.4306</v>
      </c>
      <c r="D9" s="6">
        <v>692808670626.207</v>
      </c>
      <c r="E9" s="7">
        <v>7.87022743410008</v>
      </c>
    </row>
    <row r="10" spans="1:17">
      <c r="A10" s="1">
        <v>2029</v>
      </c>
      <c r="B10" s="6">
        <v>68710309877.235</v>
      </c>
      <c r="C10" s="6">
        <v>34466298994.5086</v>
      </c>
      <c r="D10" s="6">
        <v>691330500773.555</v>
      </c>
      <c r="E10" s="7">
        <v>7.94507109645298</v>
      </c>
    </row>
    <row r="11" spans="1:17">
      <c r="A11" s="1">
        <v>2030</v>
      </c>
      <c r="B11" s="6">
        <v>74412737798.7827</v>
      </c>
      <c r="C11" s="6">
        <v>39122904365.7191</v>
      </c>
      <c r="D11" s="6">
        <v>686282173019.292</v>
      </c>
      <c r="E11" s="7">
        <v>7.99817815183793</v>
      </c>
    </row>
    <row r="12" spans="1:17">
      <c r="A12" s="1">
        <v>2031</v>
      </c>
      <c r="B12" s="6">
        <v>76026387736.7064</v>
      </c>
      <c r="C12" s="6">
        <v>37481038845.4144</v>
      </c>
      <c r="D12" s="6">
        <v>686460769837.724</v>
      </c>
      <c r="E12" s="7">
        <v>7.99968196419844</v>
      </c>
    </row>
    <row r="13" spans="1:17">
      <c r="A13" s="1">
        <v>2032</v>
      </c>
      <c r="B13" s="6">
        <v>79134511368.2912</v>
      </c>
      <c r="C13" s="6">
        <v>34208230197.6747</v>
      </c>
      <c r="D13" s="6">
        <v>685491608148.723</v>
      </c>
      <c r="E13" s="7">
        <v>7.98834349714689</v>
      </c>
    </row>
    <row r="14" spans="1:17">
      <c r="A14" s="1">
        <v>2033</v>
      </c>
      <c r="B14" s="6">
        <v>80448971403.5436</v>
      </c>
      <c r="C14" s="6">
        <v>33302618741.4865</v>
      </c>
      <c r="D14" s="6">
        <v>684386908943.615</v>
      </c>
      <c r="E14" s="7">
        <v>7.98138499088645</v>
      </c>
    </row>
    <row r="15" spans="1:17">
      <c r="A15" s="1">
        <v>2034</v>
      </c>
      <c r="B15" s="6">
        <v>82966242033.055</v>
      </c>
      <c r="C15" s="6">
        <v>30729268201.8776</v>
      </c>
      <c r="D15" s="6">
        <v>683264970866.278</v>
      </c>
      <c r="E15" s="7">
        <v>7.96960481101211</v>
      </c>
    </row>
    <row r="16" spans="1:17">
      <c r="A16" s="1">
        <v>2035</v>
      </c>
      <c r="B16" s="6">
        <v>84721007673.6225</v>
      </c>
      <c r="C16" s="6">
        <v>27816000752.1253</v>
      </c>
      <c r="D16" s="6">
        <v>680651136632.965</v>
      </c>
      <c r="E16" s="7">
        <v>7.93188145058712</v>
      </c>
    </row>
    <row r="17" spans="1:5">
      <c r="A17" s="1">
        <v>2036</v>
      </c>
      <c r="B17" s="6">
        <v>84866736994.5275</v>
      </c>
      <c r="C17" s="6">
        <v>25648775883.9616</v>
      </c>
      <c r="D17" s="6">
        <v>678012762503.509</v>
      </c>
      <c r="E17" s="7">
        <v>7.88528275381998</v>
      </c>
    </row>
    <row r="18" spans="1:5">
      <c r="A18" s="1">
        <v>2037</v>
      </c>
      <c r="B18" s="6">
        <v>85134842715.1521</v>
      </c>
      <c r="C18" s="6">
        <v>23207106829.5606</v>
      </c>
      <c r="D18" s="6">
        <v>674916171485.782</v>
      </c>
      <c r="E18" s="7">
        <v>7.83258121030495</v>
      </c>
    </row>
    <row r="19" spans="1:5">
      <c r="A19" s="1">
        <v>2038</v>
      </c>
      <c r="B19" s="6">
        <v>86193149098.4486</v>
      </c>
      <c r="C19" s="6">
        <v>22443176203.1463</v>
      </c>
      <c r="D19" s="6">
        <v>671357089833.815</v>
      </c>
      <c r="E19" s="7">
        <v>7.7999341513541</v>
      </c>
    </row>
    <row r="20" spans="1:5">
      <c r="A20" s="1">
        <v>2039</v>
      </c>
      <c r="B20" s="6">
        <v>93091749809.1984</v>
      </c>
      <c r="C20" s="6">
        <v>20967491810.0054</v>
      </c>
      <c r="D20" s="6">
        <v>662183965839.624</v>
      </c>
      <c r="E20" s="7">
        <v>7.76243207458827</v>
      </c>
    </row>
    <row r="21" spans="1:5">
      <c r="A21" s="1">
        <v>2040</v>
      </c>
      <c r="B21" s="6">
        <v>99207576283.9866</v>
      </c>
      <c r="C21" s="6">
        <v>19204620555.5172</v>
      </c>
      <c r="D21" s="6">
        <v>651535626721.125</v>
      </c>
      <c r="E21" s="7">
        <v>7.69947823560628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81" zoomScaleNormal="81" workbookViewId="0">
      <selection activeCell="A2" sqref="$A2:$XFD4"/>
    </sheetView>
  </sheetViews>
  <sheetFormatPr defaultColWidth="9" defaultRowHeight="14.1"/>
  <cols>
    <col min="1" max="1" width="9" style="1"/>
    <col min="2" max="2" width="11.5" style="2" customWidth="1"/>
    <col min="3" max="3" width="13.8583333333333" style="2" customWidth="1"/>
    <col min="4" max="9" width="9" style="2"/>
    <col min="10" max="11" width="11.2083333333333" style="2" customWidth="1"/>
    <col min="12" max="12" width="12.6416666666667" style="2" customWidth="1"/>
    <col min="13" max="16384" width="9" style="2"/>
  </cols>
  <sheetData>
    <row r="1" spans="1:13">
      <c r="A1" s="1" t="s">
        <v>0</v>
      </c>
      <c r="B1" s="3" t="s">
        <v>6</v>
      </c>
      <c r="C1" s="3" t="s">
        <v>7</v>
      </c>
      <c r="E1" s="4"/>
    </row>
    <row r="2" s="5" customFormat="1" spans="1:13">
      <c r="A2" s="5">
        <v>2021</v>
      </c>
      <c r="B2" s="6">
        <v>802990738246.2</v>
      </c>
      <c r="C2" s="6">
        <v>8.029907382462</v>
      </c>
    </row>
    <row r="3" spans="1:13">
      <c r="A3" s="1">
        <v>2022</v>
      </c>
      <c r="B3" s="6">
        <v>777796398551.507</v>
      </c>
      <c r="C3" s="6">
        <v>7.77796398551507</v>
      </c>
      <c r="E3" s="5"/>
      <c r="F3" s="5"/>
      <c r="G3" s="5"/>
      <c r="H3" s="5"/>
      <c r="J3" s="5"/>
      <c r="K3" s="5"/>
      <c r="L3" s="5"/>
      <c r="M3" s="5"/>
    </row>
    <row r="4" spans="1:13">
      <c r="A4" s="1">
        <v>2023</v>
      </c>
      <c r="B4" s="6">
        <v>780998618511.393</v>
      </c>
      <c r="C4" s="6">
        <v>7.80998618511393</v>
      </c>
      <c r="E4" s="5"/>
      <c r="F4" s="5"/>
      <c r="G4" s="5"/>
      <c r="H4" s="5"/>
      <c r="J4" s="5"/>
      <c r="K4" s="5"/>
      <c r="L4" s="5"/>
      <c r="M4" s="5"/>
    </row>
    <row r="5" spans="1:13">
      <c r="A5" s="1">
        <v>2024</v>
      </c>
      <c r="B5" s="6">
        <v>791434806436.401</v>
      </c>
      <c r="C5" s="6">
        <v>7.91434806436401</v>
      </c>
      <c r="E5" s="5"/>
      <c r="F5" s="5"/>
      <c r="G5" s="5"/>
      <c r="H5" s="5"/>
      <c r="J5" s="5"/>
      <c r="K5" s="5"/>
      <c r="L5" s="5"/>
      <c r="M5" s="5"/>
    </row>
    <row r="6" spans="1:13">
      <c r="A6" s="1">
        <v>2025</v>
      </c>
      <c r="B6" s="6">
        <v>806977897166.569</v>
      </c>
      <c r="C6" s="6">
        <v>8.06977897166569</v>
      </c>
      <c r="E6" s="5"/>
      <c r="F6" s="5"/>
      <c r="G6" s="5"/>
      <c r="H6" s="5"/>
      <c r="J6" s="5"/>
      <c r="K6" s="5"/>
      <c r="L6" s="5"/>
      <c r="M6" s="5"/>
    </row>
    <row r="7" spans="1:13">
      <c r="A7" s="1">
        <v>2026</v>
      </c>
      <c r="B7" s="6">
        <v>825762036762.074</v>
      </c>
      <c r="C7" s="6">
        <v>8.25762036762074</v>
      </c>
      <c r="E7" s="5"/>
      <c r="F7" s="5"/>
      <c r="G7" s="5"/>
      <c r="H7" s="5"/>
      <c r="J7" s="5"/>
      <c r="K7" s="5"/>
      <c r="L7" s="5"/>
      <c r="M7" s="5"/>
    </row>
    <row r="8" spans="1:13">
      <c r="A8" s="1">
        <v>2027</v>
      </c>
      <c r="B8" s="6">
        <v>846564339609.14</v>
      </c>
      <c r="C8" s="6">
        <v>8.4656433960914</v>
      </c>
      <c r="E8" s="5"/>
      <c r="F8" s="5"/>
      <c r="G8" s="5"/>
      <c r="H8" s="5"/>
      <c r="J8" s="5"/>
      <c r="K8" s="5"/>
      <c r="L8" s="5"/>
      <c r="M8" s="5"/>
    </row>
    <row r="9" spans="1:13">
      <c r="A9" s="1">
        <v>2028</v>
      </c>
      <c r="B9" s="6">
        <v>867031690479.597</v>
      </c>
      <c r="C9" s="6">
        <v>8.67031690479597</v>
      </c>
      <c r="E9" s="5"/>
      <c r="F9" s="5"/>
      <c r="G9" s="5"/>
      <c r="H9" s="5"/>
      <c r="J9" s="5"/>
      <c r="K9" s="5"/>
      <c r="L9" s="5"/>
      <c r="M9" s="5"/>
    </row>
    <row r="10" spans="1:13">
      <c r="A10" s="1">
        <v>2029</v>
      </c>
      <c r="B10" s="6">
        <v>886623316370.087</v>
      </c>
      <c r="C10" s="6">
        <v>8.86623316370087</v>
      </c>
      <c r="E10" s="5"/>
      <c r="F10" s="5"/>
      <c r="G10" s="5"/>
      <c r="H10" s="5"/>
      <c r="J10" s="5"/>
      <c r="K10" s="5"/>
      <c r="L10" s="5"/>
      <c r="M10" s="5"/>
    </row>
    <row r="11" spans="1:13">
      <c r="A11" s="1">
        <v>2030</v>
      </c>
      <c r="B11" s="6">
        <v>903966283892.443</v>
      </c>
      <c r="C11" s="6">
        <v>9.03966283892443</v>
      </c>
      <c r="E11" s="5"/>
      <c r="F11" s="5"/>
      <c r="G11" s="5"/>
      <c r="H11" s="5"/>
      <c r="J11" s="5"/>
      <c r="K11" s="5"/>
      <c r="L11" s="5"/>
      <c r="M11" s="5"/>
    </row>
    <row r="12" spans="1:13">
      <c r="A12" s="1">
        <v>2031</v>
      </c>
      <c r="B12" s="6">
        <v>919422404327.868</v>
      </c>
      <c r="C12" s="6">
        <v>9.19422404327868</v>
      </c>
      <c r="E12" s="5"/>
      <c r="F12" s="5"/>
      <c r="G12" s="5"/>
      <c r="H12" s="5"/>
      <c r="J12" s="5"/>
      <c r="K12" s="5"/>
      <c r="L12" s="5"/>
      <c r="M12" s="5"/>
    </row>
    <row r="13" spans="1:13">
      <c r="A13" s="1">
        <v>2032</v>
      </c>
      <c r="B13" s="6">
        <v>932926464093.635</v>
      </c>
      <c r="C13" s="6">
        <v>9.32926464093635</v>
      </c>
      <c r="E13" s="5"/>
      <c r="F13" s="5"/>
      <c r="G13" s="5"/>
      <c r="H13" s="5"/>
      <c r="J13" s="5"/>
      <c r="K13" s="5"/>
      <c r="L13" s="5"/>
      <c r="M13" s="5"/>
    </row>
    <row r="14" spans="1:13">
      <c r="A14" s="1">
        <v>2033</v>
      </c>
      <c r="B14" s="6">
        <v>946177622485.793</v>
      </c>
      <c r="C14" s="6">
        <v>9.46177622485794</v>
      </c>
      <c r="E14" s="5"/>
      <c r="F14" s="5"/>
      <c r="G14" s="5"/>
      <c r="H14" s="5"/>
      <c r="J14" s="5"/>
      <c r="K14" s="5"/>
      <c r="L14" s="5"/>
      <c r="M14" s="5"/>
    </row>
    <row r="15" spans="1:13">
      <c r="A15" s="1">
        <v>2034</v>
      </c>
      <c r="B15" s="6">
        <v>959071819580.402</v>
      </c>
      <c r="C15" s="6">
        <v>9.59071819580402</v>
      </c>
      <c r="E15" s="5"/>
      <c r="F15" s="5"/>
      <c r="G15" s="5"/>
      <c r="H15" s="5"/>
      <c r="J15" s="5"/>
      <c r="K15" s="5"/>
      <c r="L15" s="5"/>
      <c r="M15" s="5"/>
    </row>
    <row r="16" spans="1:13">
      <c r="A16" s="1">
        <v>2035</v>
      </c>
      <c r="B16" s="6">
        <v>968583412613.687</v>
      </c>
      <c r="C16" s="6">
        <v>9.68583412613687</v>
      </c>
      <c r="E16" s="5"/>
      <c r="F16" s="5"/>
      <c r="G16" s="5"/>
      <c r="H16" s="5"/>
      <c r="J16" s="5"/>
      <c r="K16" s="5"/>
      <c r="L16" s="5"/>
      <c r="M16" s="5"/>
    </row>
    <row r="17" spans="1:13">
      <c r="A17" s="1">
        <v>2036</v>
      </c>
      <c r="B17" s="6">
        <v>976554663775.6</v>
      </c>
      <c r="C17" s="6">
        <v>9.765546637756</v>
      </c>
      <c r="E17" s="5"/>
      <c r="F17" s="5"/>
      <c r="G17" s="5"/>
      <c r="H17" s="5"/>
      <c r="J17" s="5"/>
      <c r="K17" s="5"/>
      <c r="L17" s="5"/>
      <c r="M17" s="5"/>
    </row>
    <row r="18" spans="1:13">
      <c r="A18" s="1">
        <v>2037</v>
      </c>
      <c r="B18" s="6">
        <v>983042177725.021</v>
      </c>
      <c r="C18" s="6">
        <v>9.8304217772502</v>
      </c>
      <c r="E18" s="5"/>
      <c r="F18" s="5"/>
      <c r="G18" s="5"/>
      <c r="H18" s="5"/>
      <c r="J18" s="5"/>
      <c r="K18" s="5"/>
      <c r="L18" s="5"/>
      <c r="M18" s="5"/>
    </row>
    <row r="19" spans="1:13">
      <c r="A19" s="1">
        <v>2038</v>
      </c>
      <c r="B19" s="6">
        <v>990284730547.482</v>
      </c>
      <c r="C19" s="6">
        <v>9.90284730547482</v>
      </c>
      <c r="E19" s="5"/>
      <c r="F19" s="5"/>
      <c r="G19" s="5"/>
      <c r="H19" s="5"/>
      <c r="J19" s="5"/>
      <c r="K19" s="5"/>
      <c r="L19" s="5"/>
      <c r="M19" s="5"/>
    </row>
    <row r="20" spans="1:13">
      <c r="A20" s="1">
        <v>2039</v>
      </c>
      <c r="B20" s="6">
        <v>995788634881.798</v>
      </c>
      <c r="C20" s="6">
        <v>9.95788634881798</v>
      </c>
      <c r="E20" s="5"/>
      <c r="F20" s="5"/>
      <c r="G20" s="5"/>
      <c r="H20" s="5"/>
      <c r="J20" s="5"/>
      <c r="K20" s="5"/>
      <c r="L20" s="5"/>
      <c r="M20" s="5"/>
    </row>
    <row r="21" spans="1:13">
      <c r="A21" s="1">
        <v>2040</v>
      </c>
      <c r="B21" s="6">
        <v>999503602921.765</v>
      </c>
      <c r="C21" s="6">
        <v>9.99503602921765</v>
      </c>
      <c r="E21" s="5"/>
      <c r="F21" s="5"/>
      <c r="G21" s="5"/>
      <c r="H21" s="5"/>
      <c r="J21" s="5"/>
      <c r="K21" s="5"/>
      <c r="L21" s="5"/>
      <c r="M21" s="5"/>
    </row>
    <row r="25" spans="1:13">
      <c r="I25" s="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zoomScale="85" zoomScaleNormal="85" workbookViewId="0">
      <selection activeCell="A2" sqref="$A2:$XFD4"/>
    </sheetView>
  </sheetViews>
  <sheetFormatPr defaultColWidth="9" defaultRowHeight="14.1"/>
  <cols>
    <col min="1" max="1" width="9" style="1"/>
    <col min="2" max="2" width="13.1416666666667" style="2" customWidth="1"/>
    <col min="3" max="3" width="15.8583333333333" style="2" customWidth="1"/>
    <col min="4" max="4" width="11.5" style="2" customWidth="1"/>
    <col min="5" max="5" width="13.8583333333333" style="2" customWidth="1"/>
    <col min="6" max="16384" width="9" style="2"/>
  </cols>
  <sheetData>
    <row r="1" s="3" customFormat="1" spans="1:17">
      <c r="A1" s="8" t="s">
        <v>0</v>
      </c>
      <c r="B1" s="3" t="s">
        <v>8</v>
      </c>
      <c r="C1" s="3" t="s">
        <v>9</v>
      </c>
      <c r="D1" s="3" t="s">
        <v>6</v>
      </c>
      <c r="E1" s="3" t="s">
        <v>7</v>
      </c>
      <c r="L1" s="9"/>
      <c r="Q1" s="9"/>
    </row>
    <row r="2" spans="1:17">
      <c r="A2" s="1">
        <v>2021</v>
      </c>
      <c r="B2" s="6">
        <v>37377435684.6698</v>
      </c>
      <c r="C2" s="6">
        <v>17325426876.9287</v>
      </c>
      <c r="D2" s="6">
        <v>802613454406.172</v>
      </c>
      <c r="E2" s="6">
        <v>8.57316316967771</v>
      </c>
    </row>
    <row r="3" spans="1:17">
      <c r="A3" s="1">
        <v>2022</v>
      </c>
      <c r="B3" s="6">
        <v>40073293872.4788</v>
      </c>
      <c r="C3" s="6">
        <v>15454789396.9499</v>
      </c>
      <c r="D3" s="6">
        <v>745540375886.542</v>
      </c>
      <c r="E3" s="7">
        <v>8.01068459155971</v>
      </c>
    </row>
    <row r="4" spans="1:17">
      <c r="A4" s="1">
        <v>2023</v>
      </c>
      <c r="B4" s="6">
        <v>44396428282.2206</v>
      </c>
      <c r="C4" s="6">
        <v>17620641825.2322</v>
      </c>
      <c r="D4" s="6">
        <v>735066473801.075</v>
      </c>
      <c r="E4" s="7">
        <v>7.97083543908528</v>
      </c>
    </row>
    <row r="5" spans="1:17">
      <c r="A5" s="1">
        <v>2024</v>
      </c>
      <c r="B5" s="6">
        <v>55295291573.6329</v>
      </c>
      <c r="C5" s="6">
        <v>20476996767.2023</v>
      </c>
      <c r="D5" s="6">
        <v>725854191382.139</v>
      </c>
      <c r="E5" s="7">
        <v>8.01626479722974</v>
      </c>
    </row>
    <row r="6" spans="1:17">
      <c r="A6" s="1">
        <v>2025</v>
      </c>
      <c r="B6" s="6">
        <v>70954823552.8534</v>
      </c>
      <c r="C6" s="6">
        <v>24041289546.6432</v>
      </c>
      <c r="D6" s="6">
        <v>714651536352.943</v>
      </c>
      <c r="E6" s="7">
        <v>8.0964764945244</v>
      </c>
    </row>
    <row r="7" spans="1:17">
      <c r="A7" s="1">
        <v>2026</v>
      </c>
      <c r="B7" s="6">
        <v>72289078626.1191</v>
      </c>
      <c r="C7" s="6">
        <v>26055775459.1316</v>
      </c>
      <c r="D7" s="6">
        <v>714676514447.08</v>
      </c>
      <c r="E7" s="7">
        <v>8.13021368532331</v>
      </c>
    </row>
    <row r="8" spans="1:17">
      <c r="A8" s="1">
        <v>2027</v>
      </c>
      <c r="B8" s="6">
        <v>75684420928.6055</v>
      </c>
      <c r="C8" s="6">
        <v>29687996963.5804</v>
      </c>
      <c r="D8" s="6">
        <v>715736262085.654</v>
      </c>
      <c r="E8" s="7">
        <v>8.21108679977839</v>
      </c>
    </row>
    <row r="9" spans="1:17">
      <c r="A9" s="1">
        <v>2028</v>
      </c>
      <c r="B9" s="6">
        <v>78967287875.7395</v>
      </c>
      <c r="C9" s="6">
        <v>35216496717.0907</v>
      </c>
      <c r="D9" s="6">
        <v>715650659913.665</v>
      </c>
      <c r="E9" s="7">
        <v>8.29834444506496</v>
      </c>
    </row>
    <row r="10" spans="1:17">
      <c r="A10" s="1">
        <v>2029</v>
      </c>
      <c r="B10" s="6">
        <v>82860123110.9278</v>
      </c>
      <c r="C10" s="6">
        <v>41209995229.5571</v>
      </c>
      <c r="D10" s="6">
        <v>713580039437.561</v>
      </c>
      <c r="E10" s="7">
        <v>8.37650157778046</v>
      </c>
    </row>
    <row r="11" spans="1:17">
      <c r="A11" s="1">
        <v>2030</v>
      </c>
      <c r="B11" s="6">
        <v>89066483055.4569</v>
      </c>
      <c r="C11" s="6">
        <v>46419494248.8874</v>
      </c>
      <c r="D11" s="6">
        <v>707669492394.735</v>
      </c>
      <c r="E11" s="7">
        <v>8.43155469699079</v>
      </c>
    </row>
    <row r="12" spans="1:17">
      <c r="A12" s="1">
        <v>2031</v>
      </c>
      <c r="B12" s="6">
        <v>90856070359.0813</v>
      </c>
      <c r="C12" s="6">
        <v>44217014974.9926</v>
      </c>
      <c r="D12" s="6">
        <v>707835594489.121</v>
      </c>
      <c r="E12" s="7">
        <v>8.42908679823195</v>
      </c>
    </row>
    <row r="13" spans="1:17">
      <c r="A13" s="1">
        <v>2032</v>
      </c>
      <c r="B13" s="6">
        <v>94493158884.2093</v>
      </c>
      <c r="C13" s="6">
        <v>40094420734.8778</v>
      </c>
      <c r="D13" s="6">
        <v>706841642909.184</v>
      </c>
      <c r="E13" s="7">
        <v>8.41429222528271</v>
      </c>
    </row>
    <row r="14" spans="1:17">
      <c r="A14" s="1">
        <v>2033</v>
      </c>
      <c r="B14" s="6">
        <v>95919125925.1356</v>
      </c>
      <c r="C14" s="6">
        <v>38951786560.3126</v>
      </c>
      <c r="D14" s="6">
        <v>705699971423.642</v>
      </c>
      <c r="E14" s="7">
        <v>8.4057088390909</v>
      </c>
    </row>
    <row r="15" spans="1:17">
      <c r="A15" s="1">
        <v>2034</v>
      </c>
      <c r="B15" s="6">
        <v>98842079263.5862</v>
      </c>
      <c r="C15" s="6">
        <v>35826860832.4372</v>
      </c>
      <c r="D15" s="6">
        <v>704518197905.445</v>
      </c>
      <c r="E15" s="7">
        <v>8.39187138001468</v>
      </c>
    </row>
    <row r="16" spans="1:17">
      <c r="A16" s="1">
        <v>2035</v>
      </c>
      <c r="B16" s="6">
        <v>100853939923.202</v>
      </c>
      <c r="C16" s="6">
        <v>32371896850.7311</v>
      </c>
      <c r="D16" s="6">
        <v>701643010660.462</v>
      </c>
      <c r="E16" s="7">
        <v>8.34868847434395</v>
      </c>
    </row>
    <row r="17" spans="1:5">
      <c r="A17" s="1">
        <v>2036</v>
      </c>
      <c r="B17" s="6">
        <v>100947681572.4</v>
      </c>
      <c r="C17" s="6">
        <v>29934588470.2228</v>
      </c>
      <c r="D17" s="6">
        <v>698766688860.306</v>
      </c>
      <c r="E17" s="7">
        <v>8.29648958902929</v>
      </c>
    </row>
    <row r="18" spans="1:5">
      <c r="A18" s="1">
        <v>2037</v>
      </c>
      <c r="B18" s="6">
        <v>101208940993.609</v>
      </c>
      <c r="C18" s="6">
        <v>27223831421.6726</v>
      </c>
      <c r="D18" s="6">
        <v>695398915060.896</v>
      </c>
      <c r="E18" s="7">
        <v>8.23831687476177</v>
      </c>
    </row>
    <row r="19" spans="1:5">
      <c r="A19" s="1">
        <v>2038</v>
      </c>
      <c r="B19" s="6">
        <v>102287516126.177</v>
      </c>
      <c r="C19" s="6">
        <v>26584576028.5737</v>
      </c>
      <c r="D19" s="6">
        <v>691394308669.677</v>
      </c>
      <c r="E19" s="7">
        <v>8.20266400824428</v>
      </c>
    </row>
    <row r="20" spans="1:5">
      <c r="A20" s="1">
        <v>2039</v>
      </c>
      <c r="B20" s="6">
        <v>110139898962.266</v>
      </c>
      <c r="C20" s="6">
        <v>25011420744.5766</v>
      </c>
      <c r="D20" s="6">
        <v>681150578465.094</v>
      </c>
      <c r="E20" s="7">
        <v>8.16301898171937</v>
      </c>
    </row>
    <row r="21" spans="1:5">
      <c r="A21" s="1">
        <v>2040</v>
      </c>
      <c r="B21" s="6">
        <v>117032921668.325</v>
      </c>
      <c r="C21" s="6">
        <v>23133454777.5796</v>
      </c>
      <c r="D21" s="6">
        <v>669351115128.811</v>
      </c>
      <c r="E21" s="7">
        <v>8.09517491574716</v>
      </c>
    </row>
    <row r="43" spans="3:4">
      <c r="C43" s="10"/>
      <c r="D43" s="11"/>
    </row>
    <row r="44" spans="3:4">
      <c r="C44" s="10"/>
      <c r="D44" s="11"/>
    </row>
    <row r="45" spans="3:4">
      <c r="C45" s="10"/>
      <c r="D45" s="11"/>
    </row>
    <row r="46" spans="3:4">
      <c r="C46" s="10"/>
      <c r="D46" s="11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81" zoomScaleNormal="81" workbookViewId="0">
      <selection activeCell="A2" sqref="$A2:$XFD4"/>
    </sheetView>
  </sheetViews>
  <sheetFormatPr defaultColWidth="9" defaultRowHeight="14.1"/>
  <cols>
    <col min="1" max="1" width="9" style="1"/>
    <col min="2" max="2" width="13.1416666666667" style="2" customWidth="1"/>
    <col min="3" max="3" width="15.8583333333333" style="2" customWidth="1"/>
    <col min="4" max="4" width="11.5" style="2" customWidth="1"/>
    <col min="5" max="5" width="13.8583333333333" style="2" customWidth="1"/>
    <col min="6" max="16384" width="9" style="2"/>
  </cols>
  <sheetData>
    <row r="1" spans="1:15">
      <c r="A1" s="1" t="s">
        <v>0</v>
      </c>
      <c r="B1" s="3" t="s">
        <v>8</v>
      </c>
      <c r="C1" s="3" t="s">
        <v>9</v>
      </c>
      <c r="D1" s="3" t="s">
        <v>6</v>
      </c>
      <c r="E1" s="3" t="s">
        <v>7</v>
      </c>
      <c r="G1" s="4"/>
    </row>
    <row r="2" spans="1:15">
      <c r="A2" s="1">
        <v>2021</v>
      </c>
      <c r="B2" s="6">
        <v>22211349905.769</v>
      </c>
      <c r="C2" s="6">
        <v>10383792483.3568</v>
      </c>
      <c r="D2" s="6">
        <v>766887292380.383</v>
      </c>
      <c r="E2" s="6">
        <v>7.99482434769509</v>
      </c>
      <c r="G2" s="5"/>
      <c r="H2" s="5"/>
      <c r="I2" s="5"/>
      <c r="J2" s="5"/>
      <c r="K2" s="5"/>
      <c r="L2" s="5"/>
      <c r="M2" s="5"/>
      <c r="N2" s="5"/>
      <c r="O2" s="5"/>
    </row>
    <row r="3" spans="1:15">
      <c r="A3" s="1">
        <v>2022</v>
      </c>
      <c r="B3" s="6">
        <v>24577393963.6143</v>
      </c>
      <c r="C3" s="6">
        <v>9701540572.50158</v>
      </c>
      <c r="D3" s="6">
        <v>716316136373.147</v>
      </c>
      <c r="E3" s="7">
        <v>7.50595070909263</v>
      </c>
      <c r="G3" s="5"/>
      <c r="H3" s="5"/>
      <c r="I3" s="5"/>
      <c r="J3" s="5"/>
      <c r="L3" s="5"/>
      <c r="M3" s="5"/>
      <c r="N3" s="5"/>
      <c r="O3" s="5"/>
    </row>
    <row r="4" spans="1:15">
      <c r="A4" s="1">
        <v>2023</v>
      </c>
      <c r="B4" s="6">
        <v>28249505239.728</v>
      </c>
      <c r="C4" s="6">
        <v>11456990318.0138</v>
      </c>
      <c r="D4" s="6">
        <v>707337384408.827</v>
      </c>
      <c r="E4" s="7">
        <v>7.47043879966568</v>
      </c>
      <c r="G4" s="5"/>
      <c r="H4" s="5"/>
      <c r="I4" s="5"/>
      <c r="J4" s="5"/>
      <c r="L4" s="5"/>
      <c r="M4" s="5"/>
      <c r="N4" s="5"/>
      <c r="O4" s="5"/>
    </row>
    <row r="5" spans="1:15">
      <c r="A5" s="1">
        <v>2024</v>
      </c>
      <c r="B5" s="6">
        <v>36630563760.7722</v>
      </c>
      <c r="C5" s="6">
        <v>13865274925.2266</v>
      </c>
      <c r="D5" s="6">
        <v>699711788697.801</v>
      </c>
      <c r="E5" s="7">
        <v>7.50207627383799</v>
      </c>
      <c r="G5" s="5"/>
      <c r="H5" s="5"/>
      <c r="I5" s="5"/>
      <c r="J5" s="5"/>
      <c r="L5" s="5"/>
      <c r="M5" s="5"/>
      <c r="N5" s="5"/>
      <c r="O5" s="5"/>
    </row>
    <row r="6" spans="1:15">
      <c r="A6" s="1">
        <v>2025</v>
      </c>
      <c r="B6" s="6">
        <v>48549878192.0359</v>
      </c>
      <c r="C6" s="6">
        <v>16759933969.2389</v>
      </c>
      <c r="D6" s="6">
        <v>690415280045.193</v>
      </c>
      <c r="E6" s="7">
        <v>7.55725092206468</v>
      </c>
      <c r="G6" s="5"/>
      <c r="H6" s="5"/>
      <c r="I6" s="5"/>
      <c r="J6" s="5"/>
      <c r="L6" s="5"/>
      <c r="M6" s="5"/>
      <c r="N6" s="5"/>
      <c r="O6" s="5"/>
    </row>
    <row r="7" spans="1:15">
      <c r="A7" s="1">
        <v>2026</v>
      </c>
      <c r="B7" s="6">
        <v>49790650843.7323</v>
      </c>
      <c r="C7" s="6">
        <v>18186206126.3544</v>
      </c>
      <c r="D7" s="6">
        <v>690930675525.127</v>
      </c>
      <c r="E7" s="7">
        <v>7.58907532495214</v>
      </c>
      <c r="G7" s="5"/>
      <c r="H7" s="5"/>
      <c r="I7" s="5"/>
      <c r="J7" s="5"/>
      <c r="L7" s="5"/>
      <c r="M7" s="5"/>
      <c r="N7" s="5"/>
      <c r="O7" s="5"/>
    </row>
    <row r="8" spans="1:15">
      <c r="A8" s="1">
        <v>2027</v>
      </c>
      <c r="B8" s="6">
        <v>52584785815.6792</v>
      </c>
      <c r="C8" s="6">
        <v>20943385446.4017</v>
      </c>
      <c r="D8" s="6">
        <v>692416597845.946</v>
      </c>
      <c r="E8" s="7">
        <v>7.65944769108027</v>
      </c>
      <c r="G8" s="5"/>
      <c r="H8" s="5"/>
      <c r="I8" s="5"/>
      <c r="J8" s="5"/>
      <c r="L8" s="5"/>
      <c r="M8" s="5"/>
      <c r="N8" s="5"/>
      <c r="O8" s="5"/>
    </row>
    <row r="9" spans="1:15">
      <c r="A9" s="1">
        <v>2028</v>
      </c>
      <c r="B9" s="6">
        <v>55359236147.0353</v>
      </c>
      <c r="C9" s="6">
        <v>25076301775.584</v>
      </c>
      <c r="D9" s="6">
        <v>692808670626.207</v>
      </c>
      <c r="E9" s="7">
        <v>7.73244208548826</v>
      </c>
      <c r="G9" s="5"/>
      <c r="H9" s="5"/>
      <c r="I9" s="5"/>
      <c r="J9" s="5"/>
      <c r="L9" s="5"/>
      <c r="M9" s="5"/>
      <c r="N9" s="5"/>
      <c r="O9" s="5"/>
    </row>
    <row r="10" spans="1:15">
      <c r="A10" s="1">
        <v>2029</v>
      </c>
      <c r="B10" s="6">
        <v>58564756785.2249</v>
      </c>
      <c r="C10" s="6">
        <v>29663438840.2007</v>
      </c>
      <c r="D10" s="6">
        <v>691330500773.555</v>
      </c>
      <c r="E10" s="7">
        <v>7.79558696398981</v>
      </c>
      <c r="G10" s="5"/>
      <c r="H10" s="5"/>
      <c r="I10" s="5"/>
      <c r="J10" s="5"/>
      <c r="L10" s="5"/>
      <c r="M10" s="5"/>
      <c r="N10" s="5"/>
      <c r="O10" s="5"/>
    </row>
    <row r="11" spans="1:15">
      <c r="A11" s="1">
        <v>2030</v>
      </c>
      <c r="B11" s="6">
        <v>63427166057.0227</v>
      </c>
      <c r="C11" s="6">
        <v>33893166238.9848</v>
      </c>
      <c r="D11" s="6">
        <v>686282173019.292</v>
      </c>
      <c r="E11" s="7">
        <v>7.83602505315299</v>
      </c>
      <c r="G11" s="5"/>
      <c r="H11" s="5"/>
      <c r="I11" s="5"/>
      <c r="J11" s="5"/>
      <c r="L11" s="5"/>
      <c r="M11" s="5"/>
      <c r="N11" s="5"/>
      <c r="O11" s="5"/>
    </row>
    <row r="12" spans="1:15">
      <c r="A12" s="1">
        <v>2031</v>
      </c>
      <c r="B12" s="6">
        <v>64805820183.741</v>
      </c>
      <c r="C12" s="6">
        <v>33072733474.202</v>
      </c>
      <c r="D12" s="6">
        <v>686460769837.724</v>
      </c>
      <c r="E12" s="7">
        <v>7.84339323495667</v>
      </c>
      <c r="G12" s="5"/>
      <c r="H12" s="5"/>
      <c r="I12" s="5"/>
      <c r="J12" s="5"/>
      <c r="L12" s="5"/>
      <c r="M12" s="5"/>
      <c r="N12" s="5"/>
      <c r="O12" s="5"/>
    </row>
    <row r="13" spans="1:15">
      <c r="A13" s="1">
        <v>2032</v>
      </c>
      <c r="B13" s="6">
        <v>67458238305.7279</v>
      </c>
      <c r="C13" s="6">
        <v>31044647107.3866</v>
      </c>
      <c r="D13" s="6">
        <v>685491608148.724</v>
      </c>
      <c r="E13" s="7">
        <v>7.83994493561838</v>
      </c>
      <c r="G13" s="5"/>
      <c r="H13" s="5"/>
      <c r="I13" s="5"/>
      <c r="J13" s="5"/>
      <c r="L13" s="5"/>
      <c r="M13" s="5"/>
      <c r="N13" s="5"/>
      <c r="O13" s="5"/>
    </row>
    <row r="14" spans="1:15">
      <c r="A14" s="1">
        <v>2033</v>
      </c>
      <c r="B14" s="6">
        <v>68583129554.9916</v>
      </c>
      <c r="C14" s="6">
        <v>31066939413.5374</v>
      </c>
      <c r="D14" s="6">
        <v>684386908943.613</v>
      </c>
      <c r="E14" s="7">
        <v>7.84036977912142</v>
      </c>
      <c r="G14" s="5"/>
      <c r="H14" s="5"/>
      <c r="I14" s="5"/>
      <c r="J14" s="5"/>
      <c r="L14" s="5"/>
      <c r="M14" s="5"/>
      <c r="N14" s="5"/>
      <c r="O14" s="5"/>
    </row>
    <row r="15" spans="1:15">
      <c r="A15" s="1">
        <v>2034</v>
      </c>
      <c r="B15" s="6">
        <v>70733786490.57</v>
      </c>
      <c r="C15" s="6">
        <v>29852028788.3153</v>
      </c>
      <c r="D15" s="6">
        <v>683264970866.279</v>
      </c>
      <c r="E15" s="7">
        <v>7.83850786145164</v>
      </c>
      <c r="G15" s="5"/>
      <c r="H15" s="5"/>
      <c r="I15" s="5"/>
      <c r="J15" s="5"/>
      <c r="L15" s="5"/>
      <c r="M15" s="5"/>
      <c r="N15" s="5"/>
      <c r="O15" s="5"/>
    </row>
    <row r="16" spans="1:15">
      <c r="A16" s="1">
        <v>2035</v>
      </c>
      <c r="B16" s="6">
        <v>72235817777.2153</v>
      </c>
      <c r="C16" s="6">
        <v>28484487520.3391</v>
      </c>
      <c r="D16" s="6">
        <v>680651136632.964</v>
      </c>
      <c r="E16" s="7">
        <v>7.81371441930519</v>
      </c>
      <c r="G16" s="5"/>
      <c r="H16" s="5"/>
      <c r="I16" s="5"/>
      <c r="J16" s="5"/>
      <c r="L16" s="5"/>
      <c r="M16" s="5"/>
      <c r="N16" s="5"/>
      <c r="O16" s="5"/>
    </row>
    <row r="17" spans="1:15">
      <c r="A17" s="1">
        <v>2036</v>
      </c>
      <c r="B17" s="6">
        <v>72367299976.4023</v>
      </c>
      <c r="C17" s="6">
        <v>27852489587.214</v>
      </c>
      <c r="D17" s="6">
        <v>678012762503.51</v>
      </c>
      <c r="E17" s="7">
        <v>7.78232552067126</v>
      </c>
      <c r="G17" s="5"/>
      <c r="H17" s="5"/>
      <c r="I17" s="5"/>
      <c r="J17" s="5"/>
      <c r="L17" s="5"/>
      <c r="M17" s="5"/>
      <c r="N17" s="5"/>
      <c r="O17" s="5"/>
    </row>
    <row r="18" spans="1:15">
      <c r="A18" s="1">
        <v>2037</v>
      </c>
      <c r="B18" s="6">
        <v>72603484510.7327</v>
      </c>
      <c r="C18" s="6">
        <v>27139629773.4704</v>
      </c>
      <c r="D18" s="6">
        <v>674916171485.782</v>
      </c>
      <c r="E18" s="7">
        <v>7.74659285769985</v>
      </c>
      <c r="G18" s="5"/>
      <c r="H18" s="5"/>
      <c r="I18" s="5"/>
      <c r="J18" s="5"/>
      <c r="L18" s="5"/>
      <c r="M18" s="5"/>
      <c r="N18" s="5"/>
      <c r="O18" s="5"/>
    </row>
    <row r="19" spans="1:15">
      <c r="A19" s="1">
        <v>2038</v>
      </c>
      <c r="B19" s="6">
        <v>73512886370.2921</v>
      </c>
      <c r="C19" s="6">
        <v>27930690248.2094</v>
      </c>
      <c r="D19" s="6">
        <v>671357089833.816</v>
      </c>
      <c r="E19" s="7">
        <v>7.72800666452317</v>
      </c>
      <c r="G19" s="5"/>
      <c r="H19" s="5"/>
      <c r="I19" s="5"/>
      <c r="J19" s="5"/>
      <c r="L19" s="5"/>
      <c r="M19" s="5"/>
      <c r="N19" s="5"/>
      <c r="O19" s="5"/>
    </row>
    <row r="20" spans="1:15">
      <c r="A20" s="1">
        <v>2039</v>
      </c>
      <c r="B20" s="6">
        <v>79398460920.7225</v>
      </c>
      <c r="C20" s="6">
        <v>28197902615.7145</v>
      </c>
      <c r="D20" s="6">
        <v>662183965839.623</v>
      </c>
      <c r="E20" s="7">
        <v>7.6978032937606</v>
      </c>
      <c r="G20" s="5"/>
      <c r="H20" s="5"/>
      <c r="I20" s="5"/>
      <c r="J20" s="5"/>
      <c r="L20" s="5"/>
      <c r="M20" s="5"/>
      <c r="N20" s="5"/>
      <c r="O20" s="5"/>
    </row>
    <row r="21" spans="1:15">
      <c r="A21" s="1">
        <v>2040</v>
      </c>
      <c r="B21" s="6">
        <v>84616234343.9885</v>
      </c>
      <c r="C21" s="6">
        <v>28255008303.7825</v>
      </c>
      <c r="D21" s="6">
        <v>651535626721.125</v>
      </c>
      <c r="E21" s="7">
        <v>7.64406869368896</v>
      </c>
      <c r="G21" s="5"/>
      <c r="H21" s="5"/>
      <c r="I21" s="5"/>
      <c r="J21" s="5"/>
      <c r="L21" s="5"/>
      <c r="M21" s="5"/>
      <c r="N21" s="5"/>
      <c r="O21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zoomScale="85" zoomScaleNormal="85" workbookViewId="0">
      <selection activeCell="A2" sqref="$A2:$XFD4"/>
    </sheetView>
  </sheetViews>
  <sheetFormatPr defaultColWidth="9" defaultRowHeight="14.1" outlineLevelCol="4"/>
  <cols>
    <col min="1" max="1" width="9" style="1"/>
    <col min="2" max="2" width="13.1416666666667" style="2" customWidth="1"/>
    <col min="3" max="3" width="15.8583333333333" style="2" customWidth="1"/>
    <col min="4" max="4" width="11.5" style="2" customWidth="1"/>
    <col min="5" max="5" width="13.8583333333333" style="2" customWidth="1"/>
    <col min="6" max="16384" width="9" style="2"/>
  </cols>
  <sheetData>
    <row r="1" s="3" customFormat="1" spans="1:5">
      <c r="A1" s="8" t="s">
        <v>0</v>
      </c>
      <c r="B1" s="3" t="s">
        <v>8</v>
      </c>
      <c r="C1" s="3" t="s">
        <v>9</v>
      </c>
      <c r="D1" s="3" t="s">
        <v>6</v>
      </c>
      <c r="E1" s="3" t="s">
        <v>7</v>
      </c>
    </row>
    <row r="2" spans="1:5">
      <c r="A2" s="1">
        <v>2021</v>
      </c>
      <c r="B2" s="6">
        <v>37377435684.6699</v>
      </c>
      <c r="C2" s="6">
        <v>17325426876.9287</v>
      </c>
      <c r="D2" s="6">
        <v>802613454406.172</v>
      </c>
      <c r="E2" s="6">
        <v>8.57316316967771</v>
      </c>
    </row>
    <row r="3" spans="1:5">
      <c r="A3" s="1">
        <v>2022</v>
      </c>
      <c r="B3" s="6">
        <v>33291072609.7266</v>
      </c>
      <c r="C3" s="6">
        <v>14386550602.6521</v>
      </c>
      <c r="D3" s="6">
        <v>718831323380.175</v>
      </c>
      <c r="E3" s="7">
        <v>7.66508946592554</v>
      </c>
    </row>
    <row r="4" spans="1:5">
      <c r="A4" s="1">
        <v>2023</v>
      </c>
      <c r="B4" s="6">
        <v>35499168845.8882</v>
      </c>
      <c r="C4" s="6">
        <v>16325310635.6522</v>
      </c>
      <c r="D4" s="6">
        <v>704540074968.074</v>
      </c>
      <c r="E4" s="7">
        <v>7.56364554449614</v>
      </c>
    </row>
    <row r="5" spans="1:5">
      <c r="A5" s="1">
        <v>2024</v>
      </c>
      <c r="B5" s="6">
        <v>43102532166.8238</v>
      </c>
      <c r="C5" s="6">
        <v>18731092630.3534</v>
      </c>
      <c r="D5" s="6">
        <v>692733185861.419</v>
      </c>
      <c r="E5" s="7">
        <v>7.54566810658596</v>
      </c>
    </row>
    <row r="6" spans="1:5">
      <c r="A6" s="1">
        <v>2025</v>
      </c>
      <c r="B6" s="6">
        <v>54682926901.6422</v>
      </c>
      <c r="C6" s="6">
        <v>21271612121.9261</v>
      </c>
      <c r="D6" s="6">
        <v>679848881067.485</v>
      </c>
      <c r="E6" s="7">
        <v>7.55803420091053</v>
      </c>
    </row>
    <row r="7" spans="1:5">
      <c r="A7" s="1">
        <v>2026</v>
      </c>
      <c r="B7" s="6">
        <v>56285995417.1009</v>
      </c>
      <c r="C7" s="6">
        <v>22383791942.8577</v>
      </c>
      <c r="D7" s="6">
        <v>677629633977.319</v>
      </c>
      <c r="E7" s="7">
        <v>7.56299421337278</v>
      </c>
    </row>
    <row r="8" spans="1:5">
      <c r="A8" s="1">
        <v>2027</v>
      </c>
      <c r="B8" s="6">
        <v>58643485111.4007</v>
      </c>
      <c r="C8" s="6">
        <v>25419861771.8335</v>
      </c>
      <c r="D8" s="6">
        <v>677355078007.099</v>
      </c>
      <c r="E8" s="7">
        <v>7.61418424890333</v>
      </c>
    </row>
    <row r="9" spans="1:5">
      <c r="A9" s="1">
        <v>2028</v>
      </c>
      <c r="B9" s="6">
        <v>60682827581.1784</v>
      </c>
      <c r="C9" s="6">
        <v>30089656465.2312</v>
      </c>
      <c r="D9" s="6">
        <v>677430820951.212</v>
      </c>
      <c r="E9" s="7">
        <v>7.68203304997622</v>
      </c>
    </row>
    <row r="10" spans="1:5">
      <c r="A10" s="1">
        <v>2029</v>
      </c>
      <c r="B10" s="6">
        <v>63018397482.6259</v>
      </c>
      <c r="C10" s="6">
        <v>35155803066.2547</v>
      </c>
      <c r="D10" s="6">
        <v>675955501656.731</v>
      </c>
      <c r="E10" s="7">
        <v>7.74129702205611</v>
      </c>
    </row>
    <row r="11" spans="1:5">
      <c r="A11" s="1">
        <v>2030</v>
      </c>
      <c r="B11" s="6">
        <v>67107145635.5715</v>
      </c>
      <c r="C11" s="6">
        <v>39505271431.513</v>
      </c>
      <c r="D11" s="6">
        <v>670709237697.455</v>
      </c>
      <c r="E11" s="7">
        <v>7.77321654764539</v>
      </c>
    </row>
    <row r="12" spans="1:5">
      <c r="A12" s="1">
        <v>2031</v>
      </c>
      <c r="B12" s="6">
        <v>67597806537.4435</v>
      </c>
      <c r="C12" s="6">
        <v>37349128348.3926</v>
      </c>
      <c r="D12" s="6">
        <v>671385654644.226</v>
      </c>
      <c r="E12" s="7">
        <v>7.76332589530062</v>
      </c>
    </row>
    <row r="13" spans="1:5">
      <c r="A13" s="1">
        <v>2032</v>
      </c>
      <c r="B13" s="6">
        <v>69429274405.392</v>
      </c>
      <c r="C13" s="6">
        <v>33511036428.6572</v>
      </c>
      <c r="D13" s="6">
        <v>670944522654.269</v>
      </c>
      <c r="E13" s="7">
        <v>7.73884833488318</v>
      </c>
    </row>
    <row r="14" spans="1:5">
      <c r="A14" s="1">
        <v>2033</v>
      </c>
      <c r="B14" s="6">
        <v>69653172236.6263</v>
      </c>
      <c r="C14" s="6">
        <v>32433329625.5293</v>
      </c>
      <c r="D14" s="6">
        <v>670228263704.578</v>
      </c>
      <c r="E14" s="7">
        <v>7.72314765566734</v>
      </c>
    </row>
    <row r="15" spans="1:5">
      <c r="A15" s="1">
        <v>2034</v>
      </c>
      <c r="B15" s="6">
        <v>70982844925.7299</v>
      </c>
      <c r="C15" s="6">
        <v>29603127996.6398</v>
      </c>
      <c r="D15" s="6">
        <v>669778491599.731</v>
      </c>
      <c r="E15" s="7">
        <v>7.70364464522101</v>
      </c>
    </row>
    <row r="16" spans="1:5">
      <c r="A16" s="1">
        <v>2035</v>
      </c>
      <c r="B16" s="6">
        <v>71435543652.4239</v>
      </c>
      <c r="C16" s="6">
        <v>26526492081.7309</v>
      </c>
      <c r="D16" s="6">
        <v>667472278234.028</v>
      </c>
      <c r="E16" s="7">
        <v>7.65434313968183</v>
      </c>
    </row>
    <row r="17" spans="1:5">
      <c r="A17" s="1">
        <v>2036</v>
      </c>
      <c r="B17" s="6">
        <v>70610138394.3939</v>
      </c>
      <c r="C17" s="6">
        <v>24432042439.0709</v>
      </c>
      <c r="D17" s="6">
        <v>665217920644.381</v>
      </c>
      <c r="E17" s="7">
        <v>7.60260101477846</v>
      </c>
    </row>
    <row r="18" spans="1:5">
      <c r="A18" s="1">
        <v>2037</v>
      </c>
      <c r="B18" s="6">
        <v>69924447450.3363</v>
      </c>
      <c r="C18" s="6">
        <v>22058624298.7232</v>
      </c>
      <c r="D18" s="6">
        <v>662464753783.775</v>
      </c>
      <c r="E18" s="7">
        <v>7.54447825532835</v>
      </c>
    </row>
    <row r="19" spans="1:5">
      <c r="A19" s="1">
        <v>2038</v>
      </c>
      <c r="B19" s="6">
        <v>69757808736.8402</v>
      </c>
      <c r="C19" s="6">
        <v>21607365047.0452</v>
      </c>
      <c r="D19" s="6">
        <v>659478577179.309</v>
      </c>
      <c r="E19" s="7">
        <v>7.50843750963194</v>
      </c>
    </row>
    <row r="20" spans="1:5">
      <c r="A20" s="1">
        <v>2039</v>
      </c>
      <c r="B20" s="6">
        <v>74322306851.945</v>
      </c>
      <c r="C20" s="6">
        <v>20320631225.3525</v>
      </c>
      <c r="D20" s="6">
        <v>650621363717.282</v>
      </c>
      <c r="E20" s="7">
        <v>7.45264301794579</v>
      </c>
    </row>
    <row r="21" spans="1:5">
      <c r="A21" s="1">
        <v>2040</v>
      </c>
      <c r="B21" s="6">
        <v>77938199999.1249</v>
      </c>
      <c r="C21" s="6">
        <v>18731282618.8834</v>
      </c>
      <c r="D21" s="6">
        <v>640205790498.23</v>
      </c>
      <c r="E21" s="7">
        <v>7.36875273116238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zoomScale="81" zoomScaleNormal="81" workbookViewId="0">
      <selection activeCell="H24" sqref="H24"/>
    </sheetView>
  </sheetViews>
  <sheetFormatPr defaultColWidth="9" defaultRowHeight="14.1" outlineLevelCol="4"/>
  <cols>
    <col min="1" max="1" width="9" style="1"/>
    <col min="2" max="2" width="13.1416666666667" style="2" customWidth="1"/>
    <col min="3" max="3" width="15.8583333333333" style="2" customWidth="1"/>
    <col min="4" max="4" width="11.5" style="2" customWidth="1"/>
    <col min="5" max="5" width="13.8583333333333" style="2" customWidth="1"/>
    <col min="6" max="16384" width="9" style="2"/>
  </cols>
  <sheetData>
    <row r="1" spans="1:5">
      <c r="A1" s="1" t="s">
        <v>0</v>
      </c>
      <c r="B1" s="3" t="s">
        <v>8</v>
      </c>
      <c r="C1" s="3" t="s">
        <v>9</v>
      </c>
      <c r="D1" s="3" t="s">
        <v>6</v>
      </c>
      <c r="E1" s="3" t="s">
        <v>7</v>
      </c>
    </row>
    <row r="2" spans="1:5">
      <c r="A2" s="1">
        <v>2021</v>
      </c>
      <c r="B2" s="6">
        <v>22211349905.769</v>
      </c>
      <c r="C2" s="6">
        <v>10383792483.3568</v>
      </c>
      <c r="D2" s="6">
        <v>766887292380.383</v>
      </c>
      <c r="E2" s="6">
        <v>7.99482434769509</v>
      </c>
    </row>
    <row r="3" spans="1:5">
      <c r="A3" s="1">
        <v>2022</v>
      </c>
      <c r="B3" s="6">
        <v>20478501120.8628</v>
      </c>
      <c r="C3" s="6">
        <v>9066113908.28994</v>
      </c>
      <c r="D3" s="6">
        <v>691597777643.102</v>
      </c>
      <c r="E3" s="7">
        <v>7.21142392672254</v>
      </c>
    </row>
    <row r="4" spans="1:5">
      <c r="A4" s="1">
        <v>2023</v>
      </c>
      <c r="B4" s="6">
        <v>22529509353.5471</v>
      </c>
      <c r="C4" s="6">
        <v>10638266422.4157</v>
      </c>
      <c r="D4" s="6">
        <v>678720330684.921</v>
      </c>
      <c r="E4" s="7">
        <v>7.11888106460884</v>
      </c>
    </row>
    <row r="5" spans="1:5">
      <c r="A5" s="1">
        <v>2024</v>
      </c>
      <c r="B5" s="6">
        <v>28378213197.2198</v>
      </c>
      <c r="C5" s="6">
        <v>12687370940.2977</v>
      </c>
      <c r="D5" s="6">
        <v>668493502496.236</v>
      </c>
      <c r="E5" s="7">
        <v>7.09559086633754</v>
      </c>
    </row>
    <row r="6" spans="1:5">
      <c r="A6" s="1">
        <v>2025</v>
      </c>
      <c r="B6" s="6">
        <v>37179330191.1694</v>
      </c>
      <c r="C6" s="6">
        <v>14768556407.2688</v>
      </c>
      <c r="D6" s="6">
        <v>657434438593.559</v>
      </c>
      <c r="E6" s="7">
        <v>7.09382325191997</v>
      </c>
    </row>
    <row r="7" spans="1:5">
      <c r="A7" s="1">
        <v>2026</v>
      </c>
      <c r="B7" s="6">
        <v>38597764357.2506</v>
      </c>
      <c r="C7" s="6">
        <v>15490133794.563</v>
      </c>
      <c r="D7" s="6">
        <v>655737023625.295</v>
      </c>
      <c r="E7" s="7">
        <v>7.09824921777108</v>
      </c>
    </row>
    <row r="8" spans="1:5">
      <c r="A8" s="1">
        <v>2027</v>
      </c>
      <c r="B8" s="6">
        <v>40553386930.6096</v>
      </c>
      <c r="C8" s="6">
        <v>17786102480.4325</v>
      </c>
      <c r="D8" s="6">
        <v>655950815076.052</v>
      </c>
      <c r="E8" s="7">
        <v>7.14290304487094</v>
      </c>
    </row>
    <row r="9" spans="1:5">
      <c r="A9" s="1">
        <v>2028</v>
      </c>
      <c r="B9" s="6">
        <v>42322500909.2926</v>
      </c>
      <c r="C9" s="6">
        <v>21262581107.4898</v>
      </c>
      <c r="D9" s="6">
        <v>656505469036.571</v>
      </c>
      <c r="E9" s="7">
        <v>7.20090551053353</v>
      </c>
    </row>
    <row r="10" spans="1:5">
      <c r="A10" s="1">
        <v>2029</v>
      </c>
      <c r="B10" s="6">
        <v>44300683002.9735</v>
      </c>
      <c r="C10" s="6">
        <v>25123406811.3496</v>
      </c>
      <c r="D10" s="6">
        <v>655612957812.18</v>
      </c>
      <c r="E10" s="7">
        <v>7.25037047626503</v>
      </c>
    </row>
    <row r="11" spans="1:5">
      <c r="A11" s="1">
        <v>2030</v>
      </c>
      <c r="B11" s="6">
        <v>47529777701.6557</v>
      </c>
      <c r="C11" s="6">
        <v>28653171322.1094</v>
      </c>
      <c r="D11" s="6">
        <v>651215027682.455</v>
      </c>
      <c r="E11" s="7">
        <v>7.2739797670622</v>
      </c>
    </row>
    <row r="12" spans="1:5">
      <c r="A12" s="1">
        <v>2031</v>
      </c>
      <c r="B12" s="6">
        <v>47943607722.0717</v>
      </c>
      <c r="C12" s="6">
        <v>27750418392.4893</v>
      </c>
      <c r="D12" s="6">
        <v>651962929215.699</v>
      </c>
      <c r="E12" s="7">
        <v>7.2765695533026</v>
      </c>
    </row>
    <row r="13" spans="1:5">
      <c r="A13" s="1">
        <v>2032</v>
      </c>
      <c r="B13" s="6">
        <v>49279091969.9326</v>
      </c>
      <c r="C13" s="6">
        <v>25802128345.1604</v>
      </c>
      <c r="D13" s="6">
        <v>651587468961.493</v>
      </c>
      <c r="E13" s="7">
        <v>7.26668689276586</v>
      </c>
    </row>
    <row r="14" spans="1:5">
      <c r="A14" s="1">
        <v>2033</v>
      </c>
      <c r="B14" s="6">
        <v>49518259572.854</v>
      </c>
      <c r="C14" s="6">
        <v>25770383792.1313</v>
      </c>
      <c r="D14" s="6">
        <v>650971372670.674</v>
      </c>
      <c r="E14" s="7">
        <v>7.26260016035659</v>
      </c>
    </row>
    <row r="15" spans="1:5">
      <c r="A15" s="1">
        <v>2034</v>
      </c>
      <c r="B15" s="6">
        <v>50523879958.9957</v>
      </c>
      <c r="C15" s="6">
        <v>24655205632.0682</v>
      </c>
      <c r="D15" s="6">
        <v>650638017196.146</v>
      </c>
      <c r="E15" s="7">
        <v>7.2581710278721</v>
      </c>
    </row>
    <row r="16" spans="1:5">
      <c r="A16" s="1">
        <v>2035</v>
      </c>
      <c r="B16" s="6">
        <v>50909498625.0091</v>
      </c>
      <c r="C16" s="6">
        <v>23452220225.9395</v>
      </c>
      <c r="D16" s="6">
        <v>648615530693.39</v>
      </c>
      <c r="E16" s="7">
        <v>7.22977249544339</v>
      </c>
    </row>
    <row r="17" spans="1:5">
      <c r="A17" s="1">
        <v>2036</v>
      </c>
      <c r="B17" s="6">
        <v>50386457128.8762</v>
      </c>
      <c r="C17" s="6">
        <v>22978111638.6565</v>
      </c>
      <c r="D17" s="6">
        <v>646642550095.361</v>
      </c>
      <c r="E17" s="7">
        <v>7.20007118862894</v>
      </c>
    </row>
    <row r="18" spans="1:5">
      <c r="A18" s="1">
        <v>2037</v>
      </c>
      <c r="B18" s="6">
        <v>49951393261.0171</v>
      </c>
      <c r="C18" s="6">
        <v>22415402328.2487</v>
      </c>
      <c r="D18" s="6">
        <v>644178558272.865</v>
      </c>
      <c r="E18" s="7">
        <v>7.16545353862131</v>
      </c>
    </row>
    <row r="19" spans="1:5">
      <c r="A19" s="1">
        <v>2038</v>
      </c>
      <c r="B19" s="6">
        <v>49955778714.4424</v>
      </c>
      <c r="C19" s="6">
        <v>23259004826.2939</v>
      </c>
      <c r="D19" s="6">
        <v>641628720000.281</v>
      </c>
      <c r="E19" s="7">
        <v>7.14843503541017</v>
      </c>
    </row>
    <row r="20" spans="1:5">
      <c r="A20" s="1">
        <v>2039</v>
      </c>
      <c r="B20" s="6">
        <v>53441804641.5671</v>
      </c>
      <c r="C20" s="6">
        <v>23654049068.8934</v>
      </c>
      <c r="D20" s="6">
        <v>633764513074.786</v>
      </c>
      <c r="E20" s="7">
        <v>7.10860366785246</v>
      </c>
    </row>
    <row r="21" spans="1:5">
      <c r="A21" s="1">
        <v>2040</v>
      </c>
      <c r="B21" s="6">
        <v>56252553079.4228</v>
      </c>
      <c r="C21" s="6">
        <v>23849746848.714</v>
      </c>
      <c r="D21" s="6">
        <v>624421837533.642</v>
      </c>
      <c r="E21" s="7">
        <v>7.04524137461779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zoomScale="70" zoomScaleNormal="70" workbookViewId="0">
      <selection activeCell="A2" sqref="$A2:$XFD4"/>
    </sheetView>
  </sheetViews>
  <sheetFormatPr defaultColWidth="9" defaultRowHeight="14.1"/>
  <cols>
    <col min="1" max="1" width="9" style="1"/>
    <col min="2" max="2" width="13.1416666666667" style="2" customWidth="1"/>
    <col min="3" max="3" width="15.8583333333333" style="2" customWidth="1"/>
    <col min="4" max="4" width="11.5" style="2" customWidth="1"/>
    <col min="5" max="5" width="13.8583333333333" style="2" customWidth="1"/>
    <col min="6" max="11" width="9" style="2"/>
    <col min="12" max="12" width="14.7083333333333" style="2" customWidth="1"/>
    <col min="13" max="14" width="9" style="2"/>
    <col min="15" max="15" width="12.6416666666667" style="2" customWidth="1"/>
    <col min="16" max="16" width="12.2083333333333" style="2" customWidth="1"/>
    <col min="17" max="18" width="11.2083333333333" style="2" customWidth="1"/>
    <col min="19" max="19" width="12.6416666666667" style="2" customWidth="1"/>
    <col min="20" max="20" width="16" style="2" customWidth="1"/>
    <col min="21" max="21" width="13.3583333333333" style="2" customWidth="1"/>
    <col min="22" max="16384" width="9" style="2"/>
  </cols>
  <sheetData>
    <row r="1" s="3" customFormat="1" spans="1:17">
      <c r="A1" s="8" t="s">
        <v>0</v>
      </c>
      <c r="B1" s="3" t="s">
        <v>8</v>
      </c>
      <c r="C1" s="3" t="s">
        <v>9</v>
      </c>
      <c r="D1" s="3" t="s">
        <v>6</v>
      </c>
      <c r="E1" s="3" t="s">
        <v>7</v>
      </c>
      <c r="L1" s="9"/>
      <c r="Q1" s="9"/>
    </row>
    <row r="2" spans="1:17">
      <c r="A2" s="1">
        <v>2021</v>
      </c>
      <c r="B2" s="6">
        <v>37377435684.6698</v>
      </c>
      <c r="C2" s="6">
        <v>17325426876.9287</v>
      </c>
      <c r="D2" s="6">
        <v>802613454406.172</v>
      </c>
      <c r="E2" s="6">
        <v>8.57316316967771</v>
      </c>
    </row>
    <row r="3" spans="1:17">
      <c r="A3" s="1">
        <v>2022</v>
      </c>
      <c r="B3" s="6">
        <v>39964910794.328</v>
      </c>
      <c r="C3" s="6">
        <v>16531872749.1982</v>
      </c>
      <c r="D3" s="6">
        <v>769498058310.182</v>
      </c>
      <c r="E3" s="7">
        <v>8.25994841853708</v>
      </c>
    </row>
    <row r="4" spans="1:17">
      <c r="A4" s="1">
        <v>2023</v>
      </c>
      <c r="B4" s="6">
        <v>44284488951.3661</v>
      </c>
      <c r="C4" s="6">
        <v>18735594438.4871</v>
      </c>
      <c r="D4" s="6">
        <v>762976411367.93</v>
      </c>
      <c r="E4" s="7">
        <v>8.25996494757783</v>
      </c>
    </row>
    <row r="5" spans="1:17">
      <c r="A5" s="1">
        <v>2024</v>
      </c>
      <c r="B5" s="6">
        <v>55564155339.1093</v>
      </c>
      <c r="C5" s="6">
        <v>21905059289.7773</v>
      </c>
      <c r="D5" s="6">
        <v>757217672520.834</v>
      </c>
      <c r="E5" s="7">
        <v>8.34686887149721</v>
      </c>
    </row>
    <row r="6" spans="1:17">
      <c r="A6" s="1">
        <v>2025</v>
      </c>
      <c r="B6" s="6">
        <v>72832195641.0513</v>
      </c>
      <c r="C6" s="6">
        <v>26732298297.238</v>
      </c>
      <c r="D6" s="6">
        <v>749074413747.479</v>
      </c>
      <c r="E6" s="7">
        <v>8.48638907685768</v>
      </c>
    </row>
    <row r="7" spans="1:17">
      <c r="A7" s="1">
        <v>2026</v>
      </c>
      <c r="B7" s="6">
        <v>77965799737.8363</v>
      </c>
      <c r="C7" s="6">
        <v>31011765938.2465</v>
      </c>
      <c r="D7" s="6">
        <v>752308884940.1</v>
      </c>
      <c r="E7" s="7">
        <v>8.61286450616183</v>
      </c>
    </row>
    <row r="8" spans="1:17">
      <c r="A8" s="1">
        <v>2027</v>
      </c>
      <c r="B8" s="6">
        <v>83725641818.1198</v>
      </c>
      <c r="C8" s="6">
        <v>35807453778.6216</v>
      </c>
      <c r="D8" s="6">
        <v>755734616671.464</v>
      </c>
      <c r="E8" s="7">
        <v>8.75267712268205</v>
      </c>
    </row>
    <row r="9" spans="1:17">
      <c r="A9" s="1">
        <v>2028</v>
      </c>
      <c r="B9" s="6">
        <v>88990885519.3587</v>
      </c>
      <c r="C9" s="6">
        <v>42690336055.9158</v>
      </c>
      <c r="D9" s="6">
        <v>756866045689.365</v>
      </c>
      <c r="E9" s="7">
        <v>8.8854726726464</v>
      </c>
    </row>
    <row r="10" spans="1:17">
      <c r="A10" s="1">
        <v>2029</v>
      </c>
      <c r="B10" s="6">
        <v>94764877027.1831</v>
      </c>
      <c r="C10" s="6">
        <v>50099392052.464</v>
      </c>
      <c r="D10" s="6">
        <v>755160954591.656</v>
      </c>
      <c r="E10" s="7">
        <v>9.00025223671303</v>
      </c>
    </row>
    <row r="11" spans="1:17">
      <c r="A11" s="1">
        <v>2030</v>
      </c>
      <c r="B11" s="6">
        <v>102735342463.14</v>
      </c>
      <c r="C11" s="6">
        <v>56723816184.4443</v>
      </c>
      <c r="D11" s="6">
        <v>748347753796.434</v>
      </c>
      <c r="E11" s="7">
        <v>9.07806912444018</v>
      </c>
    </row>
    <row r="12" spans="1:17">
      <c r="A12" s="1">
        <v>2031</v>
      </c>
      <c r="B12" s="6">
        <v>106070499514.311</v>
      </c>
      <c r="C12" s="6">
        <v>54918139996.4801</v>
      </c>
      <c r="D12" s="6">
        <v>747761016513.966</v>
      </c>
      <c r="E12" s="7">
        <v>9.08749656024757</v>
      </c>
    </row>
    <row r="13" spans="1:17">
      <c r="A13" s="1">
        <v>2032</v>
      </c>
      <c r="B13" s="6">
        <v>111078788064.839</v>
      </c>
      <c r="C13" s="6">
        <v>50697999438.7457</v>
      </c>
      <c r="D13" s="6">
        <v>745545834226.168</v>
      </c>
      <c r="E13" s="7">
        <v>9.07322621729753</v>
      </c>
    </row>
    <row r="14" spans="1:17">
      <c r="A14" s="1">
        <v>2033</v>
      </c>
      <c r="B14" s="6">
        <v>113669307980.591</v>
      </c>
      <c r="C14" s="6">
        <v>49648022687.4846</v>
      </c>
      <c r="D14" s="6">
        <v>743198812533.076</v>
      </c>
      <c r="E14" s="7">
        <v>9.06516143201151</v>
      </c>
    </row>
    <row r="15" spans="1:17">
      <c r="A15" s="1">
        <v>2034</v>
      </c>
      <c r="B15" s="6">
        <v>117676759218</v>
      </c>
      <c r="C15" s="6">
        <v>46215373358.6311</v>
      </c>
      <c r="D15" s="6">
        <v>740822601008.897</v>
      </c>
      <c r="E15" s="7">
        <v>9.04714733585528</v>
      </c>
    </row>
    <row r="16" spans="1:17">
      <c r="A16" s="1">
        <v>2035</v>
      </c>
      <c r="B16" s="6">
        <v>120465216656.057</v>
      </c>
      <c r="C16" s="6">
        <v>42282416786.2705</v>
      </c>
      <c r="D16" s="6">
        <v>736500271134.328</v>
      </c>
      <c r="E16" s="7">
        <v>8.99247904576656</v>
      </c>
    </row>
    <row r="17" spans="1:5">
      <c r="A17" s="1">
        <v>2036</v>
      </c>
      <c r="B17" s="6">
        <v>121064316210.701</v>
      </c>
      <c r="C17" s="6">
        <v>39449825768.7102</v>
      </c>
      <c r="D17" s="6">
        <v>732293310866.794</v>
      </c>
      <c r="E17" s="7">
        <v>8.92807452846205</v>
      </c>
    </row>
    <row r="18" spans="1:5">
      <c r="A18" s="1">
        <v>2037</v>
      </c>
      <c r="B18" s="6">
        <v>121464890824.625</v>
      </c>
      <c r="C18" s="6">
        <v>36093284093.1661</v>
      </c>
      <c r="D18" s="6">
        <v>727784207250.612</v>
      </c>
      <c r="E18" s="7">
        <v>8.85342382168403</v>
      </c>
    </row>
    <row r="19" spans="1:5">
      <c r="A19" s="1">
        <v>2038</v>
      </c>
      <c r="B19" s="6">
        <v>122678844669.148</v>
      </c>
      <c r="C19" s="6">
        <v>35073280925.8798</v>
      </c>
      <c r="D19" s="6">
        <v>722433079578.885</v>
      </c>
      <c r="E19" s="7">
        <v>8.80185205173913</v>
      </c>
    </row>
    <row r="20" spans="1:5">
      <c r="A20" s="1">
        <v>2039</v>
      </c>
      <c r="B20" s="6">
        <v>130695668287.646</v>
      </c>
      <c r="C20" s="6">
        <v>33000602761.227</v>
      </c>
      <c r="D20" s="6">
        <v>710689836858.902</v>
      </c>
      <c r="E20" s="7">
        <v>8.74386107907775</v>
      </c>
    </row>
    <row r="21" spans="1:5">
      <c r="A21" s="1">
        <v>2040</v>
      </c>
      <c r="B21" s="6">
        <v>137584795062.712</v>
      </c>
      <c r="C21" s="6">
        <v>30536479625.4328</v>
      </c>
      <c r="D21" s="6">
        <v>697495104937.097</v>
      </c>
      <c r="E21" s="7">
        <v>8.65616379625242</v>
      </c>
    </row>
    <row r="41" spans="3:3">
      <c r="C41" s="4"/>
    </row>
    <row r="42" spans="3:3">
      <c r="C42" s="4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zoomScale="81" zoomScaleNormal="81" workbookViewId="0">
      <selection activeCell="K26" sqref="K26"/>
    </sheetView>
  </sheetViews>
  <sheetFormatPr defaultColWidth="9" defaultRowHeight="14.1"/>
  <cols>
    <col min="1" max="1" width="9" style="1"/>
    <col min="2" max="2" width="13.1416666666667" style="2" customWidth="1"/>
    <col min="3" max="3" width="15.8583333333333" style="2" customWidth="1"/>
    <col min="4" max="4" width="11.5" style="2" customWidth="1"/>
    <col min="5" max="5" width="13.8583333333333" style="2" customWidth="1"/>
    <col min="6" max="11" width="9" style="2"/>
    <col min="12" max="13" width="11.2083333333333" style="2" customWidth="1"/>
    <col min="14" max="14" width="12.6416666666667" style="2" customWidth="1"/>
    <col min="15" max="16384" width="9" style="2"/>
  </cols>
  <sheetData>
    <row r="1" spans="1:15">
      <c r="A1" s="1" t="s">
        <v>0</v>
      </c>
      <c r="B1" s="3" t="s">
        <v>8</v>
      </c>
      <c r="C1" s="3" t="s">
        <v>9</v>
      </c>
      <c r="D1" s="3" t="s">
        <v>6</v>
      </c>
      <c r="E1" s="3" t="s">
        <v>7</v>
      </c>
      <c r="G1" s="4"/>
    </row>
    <row r="2" s="5" customFormat="1" spans="1:15">
      <c r="A2" s="5">
        <v>2021</v>
      </c>
      <c r="B2" s="6">
        <v>22211349905.769</v>
      </c>
      <c r="C2" s="6">
        <v>10383792483.3568</v>
      </c>
      <c r="D2" s="6">
        <v>766887292380.384</v>
      </c>
      <c r="E2" s="6">
        <v>7.9948243476951</v>
      </c>
    </row>
    <row r="3" spans="1:15">
      <c r="A3" s="1">
        <v>2022</v>
      </c>
      <c r="B3" s="6">
        <v>24495083710.8091</v>
      </c>
      <c r="C3" s="6">
        <v>10314517913.9931</v>
      </c>
      <c r="D3" s="6">
        <v>738221087125.836</v>
      </c>
      <c r="E3" s="7">
        <v>7.73030688750638</v>
      </c>
      <c r="G3" s="5"/>
      <c r="H3" s="5"/>
      <c r="I3" s="5"/>
      <c r="J3" s="5"/>
      <c r="L3" s="5"/>
      <c r="M3" s="5"/>
      <c r="N3" s="5"/>
      <c r="O3" s="5"/>
    </row>
    <row r="4" spans="1:15">
      <c r="A4" s="1">
        <v>2023</v>
      </c>
      <c r="B4" s="6">
        <v>28162774405.5757</v>
      </c>
      <c r="C4" s="6">
        <v>12112332338.7002</v>
      </c>
      <c r="D4" s="6">
        <v>733324323849.16</v>
      </c>
      <c r="E4" s="7">
        <v>7.73599430593436</v>
      </c>
      <c r="G4" s="5"/>
      <c r="H4" s="5"/>
      <c r="I4" s="5"/>
      <c r="J4" s="5"/>
      <c r="L4" s="5"/>
      <c r="M4" s="5"/>
      <c r="N4" s="5"/>
      <c r="O4" s="5"/>
    </row>
    <row r="5" spans="1:15">
      <c r="A5" s="1">
        <v>2024</v>
      </c>
      <c r="B5" s="6">
        <v>36841317696.223</v>
      </c>
      <c r="C5" s="6">
        <v>14779348924.421</v>
      </c>
      <c r="D5" s="6">
        <v>729251452675.455</v>
      </c>
      <c r="E5" s="7">
        <v>7.80872119296099</v>
      </c>
      <c r="G5" s="5"/>
      <c r="H5" s="5"/>
      <c r="I5" s="5"/>
      <c r="J5" s="5"/>
      <c r="L5" s="5"/>
      <c r="M5" s="5"/>
      <c r="N5" s="5"/>
      <c r="O5" s="5"/>
    </row>
    <row r="6" spans="1:15">
      <c r="A6" s="1">
        <v>2025</v>
      </c>
      <c r="B6" s="6">
        <v>50035457269.6243</v>
      </c>
      <c r="C6" s="6">
        <v>18682417576.1308</v>
      </c>
      <c r="D6" s="6">
        <v>723084245337.12</v>
      </c>
      <c r="E6" s="7">
        <v>7.91802120182875</v>
      </c>
      <c r="G6" s="5"/>
      <c r="H6" s="5"/>
      <c r="I6" s="5"/>
      <c r="J6" s="5"/>
      <c r="L6" s="5"/>
      <c r="M6" s="5"/>
      <c r="N6" s="5"/>
      <c r="O6" s="5"/>
    </row>
    <row r="7" spans="1:15">
      <c r="A7" s="1">
        <v>2026</v>
      </c>
      <c r="B7" s="6">
        <v>54345562996.6972</v>
      </c>
      <c r="C7" s="6">
        <v>21911571601.9157</v>
      </c>
      <c r="D7" s="6">
        <v>726797643671.792</v>
      </c>
      <c r="E7" s="7">
        <v>8.03054778270404</v>
      </c>
      <c r="G7" s="5"/>
      <c r="H7" s="5"/>
      <c r="I7" s="5"/>
      <c r="J7" s="5"/>
      <c r="L7" s="5"/>
      <c r="M7" s="5"/>
      <c r="N7" s="5"/>
      <c r="O7" s="5"/>
    </row>
    <row r="8" spans="1:15">
      <c r="A8" s="1">
        <v>2027</v>
      </c>
      <c r="B8" s="6">
        <v>59098905813.5217</v>
      </c>
      <c r="C8" s="6">
        <v>25602605058.7571</v>
      </c>
      <c r="D8" s="6">
        <v>730649169019.399</v>
      </c>
      <c r="E8" s="7">
        <v>8.15350679891678</v>
      </c>
      <c r="G8" s="5"/>
      <c r="H8" s="5"/>
      <c r="I8" s="5"/>
      <c r="J8" s="5"/>
      <c r="L8" s="5"/>
      <c r="M8" s="5"/>
      <c r="N8" s="5"/>
      <c r="O8" s="5"/>
    </row>
    <row r="9" spans="1:15">
      <c r="A9" s="1">
        <v>2028</v>
      </c>
      <c r="B9" s="6">
        <v>63541047736.9245</v>
      </c>
      <c r="C9" s="6">
        <v>30807843963.8952</v>
      </c>
      <c r="D9" s="6">
        <v>732256794247.26</v>
      </c>
      <c r="E9" s="7">
        <v>8.26605685948079</v>
      </c>
      <c r="G9" s="5"/>
      <c r="H9" s="5"/>
      <c r="I9" s="5"/>
      <c r="J9" s="5"/>
      <c r="L9" s="5"/>
      <c r="M9" s="5"/>
      <c r="N9" s="5"/>
      <c r="O9" s="5"/>
    </row>
    <row r="10" spans="1:15">
      <c r="A10" s="1">
        <v>2029</v>
      </c>
      <c r="B10" s="6">
        <v>68337801624.6362</v>
      </c>
      <c r="C10" s="6">
        <v>36530022150.9623</v>
      </c>
      <c r="D10" s="6">
        <v>731161218310.199</v>
      </c>
      <c r="E10" s="7">
        <v>8.36029042085798</v>
      </c>
      <c r="G10" s="5"/>
      <c r="H10" s="5"/>
      <c r="I10" s="5"/>
      <c r="J10" s="5"/>
      <c r="L10" s="5"/>
      <c r="M10" s="5"/>
      <c r="N10" s="5"/>
      <c r="O10" s="5"/>
    </row>
    <row r="11" spans="1:15">
      <c r="A11" s="1">
        <v>2030</v>
      </c>
      <c r="B11" s="6">
        <v>74692125177.2963</v>
      </c>
      <c r="C11" s="6">
        <v>41927240922.9713</v>
      </c>
      <c r="D11" s="6">
        <v>725262683537.198</v>
      </c>
      <c r="E11" s="7">
        <v>8.41882049637466</v>
      </c>
      <c r="G11" s="5"/>
      <c r="H11" s="5"/>
      <c r="I11" s="5"/>
      <c r="J11" s="5"/>
      <c r="L11" s="5"/>
      <c r="M11" s="5"/>
      <c r="N11" s="5"/>
      <c r="O11" s="5"/>
    </row>
    <row r="12" spans="1:15">
      <c r="A12" s="1">
        <v>2031</v>
      </c>
      <c r="B12" s="6">
        <v>77391511889.2135</v>
      </c>
      <c r="C12" s="6">
        <v>41565986438.508</v>
      </c>
      <c r="D12" s="6">
        <v>724679932640.311</v>
      </c>
      <c r="E12" s="7">
        <v>8.43637430968032</v>
      </c>
      <c r="G12" s="5"/>
      <c r="H12" s="5"/>
      <c r="I12" s="5"/>
      <c r="J12" s="5"/>
      <c r="L12" s="5"/>
      <c r="M12" s="5"/>
      <c r="N12" s="5"/>
      <c r="O12" s="5"/>
    </row>
    <row r="13" spans="1:15">
      <c r="A13" s="1">
        <v>2032</v>
      </c>
      <c r="B13" s="6">
        <v>81210821530.517</v>
      </c>
      <c r="C13" s="6">
        <v>39630129077.34</v>
      </c>
      <c r="D13" s="6">
        <v>722506857354.423</v>
      </c>
      <c r="E13" s="7">
        <v>8.4334780796228</v>
      </c>
      <c r="G13" s="5"/>
      <c r="H13" s="5"/>
      <c r="I13" s="5"/>
      <c r="J13" s="5"/>
      <c r="L13" s="5"/>
      <c r="M13" s="5"/>
      <c r="N13" s="5"/>
      <c r="O13" s="5"/>
    </row>
    <row r="14" spans="1:15">
      <c r="A14" s="1">
        <v>2033</v>
      </c>
      <c r="B14" s="6">
        <v>83341176246.6776</v>
      </c>
      <c r="C14" s="6">
        <v>39843921333.162</v>
      </c>
      <c r="D14" s="6">
        <v>720199153737.388</v>
      </c>
      <c r="E14" s="7">
        <v>8.43384251317228</v>
      </c>
      <c r="G14" s="5"/>
      <c r="H14" s="5"/>
      <c r="I14" s="5"/>
      <c r="J14" s="5"/>
      <c r="L14" s="5"/>
      <c r="M14" s="5"/>
      <c r="N14" s="5"/>
      <c r="O14" s="5"/>
    </row>
    <row r="15" spans="1:15">
      <c r="A15" s="1">
        <v>2034</v>
      </c>
      <c r="B15" s="6">
        <v>86422726689.7648</v>
      </c>
      <c r="C15" s="6">
        <v>38535116745.214</v>
      </c>
      <c r="D15" s="6">
        <v>717909371423.306</v>
      </c>
      <c r="E15" s="7">
        <v>8.42867214858285</v>
      </c>
      <c r="G15" s="5"/>
      <c r="H15" s="5"/>
      <c r="I15" s="5"/>
      <c r="J15" s="5"/>
      <c r="L15" s="5"/>
      <c r="M15" s="5"/>
      <c r="N15" s="5"/>
      <c r="O15" s="5"/>
    </row>
    <row r="16" spans="1:15">
      <c r="A16" s="1">
        <v>2035</v>
      </c>
      <c r="B16" s="6">
        <v>88602482659.1562</v>
      </c>
      <c r="C16" s="6">
        <v>36942883944.9943</v>
      </c>
      <c r="D16" s="6">
        <v>713873584120.691</v>
      </c>
      <c r="E16" s="7">
        <v>8.39418950724841</v>
      </c>
      <c r="G16" s="5"/>
      <c r="H16" s="5"/>
      <c r="I16" s="5"/>
      <c r="J16" s="5"/>
      <c r="L16" s="5"/>
      <c r="M16" s="5"/>
      <c r="N16" s="5"/>
      <c r="O16" s="5"/>
    </row>
    <row r="17" spans="1:15">
      <c r="A17" s="1">
        <v>2036</v>
      </c>
      <c r="B17" s="6">
        <v>89189701918.2637</v>
      </c>
      <c r="C17" s="6">
        <v>36142189117.0038</v>
      </c>
      <c r="D17" s="6">
        <v>709947612745.524</v>
      </c>
      <c r="E17" s="7">
        <v>8.35279503780792</v>
      </c>
      <c r="G17" s="5"/>
      <c r="H17" s="5"/>
      <c r="I17" s="5"/>
      <c r="J17" s="5"/>
      <c r="L17" s="5"/>
      <c r="M17" s="5"/>
      <c r="N17" s="5"/>
      <c r="O17" s="5"/>
    </row>
    <row r="18" spans="1:15">
      <c r="A18" s="1">
        <v>2037</v>
      </c>
      <c r="B18" s="6">
        <v>89571330674.4765</v>
      </c>
      <c r="C18" s="6">
        <v>35065025632.8345</v>
      </c>
      <c r="D18" s="6">
        <v>705735450097.998</v>
      </c>
      <c r="E18" s="7">
        <v>8.30371806405309</v>
      </c>
      <c r="G18" s="5"/>
      <c r="H18" s="5"/>
      <c r="I18" s="5"/>
      <c r="J18" s="5"/>
      <c r="L18" s="5"/>
      <c r="M18" s="5"/>
      <c r="N18" s="5"/>
      <c r="O18" s="5"/>
    </row>
    <row r="19" spans="1:15">
      <c r="A19" s="1">
        <v>2038</v>
      </c>
      <c r="B19" s="6">
        <v>90619470395.2875</v>
      </c>
      <c r="C19" s="6">
        <v>35684926985.0383</v>
      </c>
      <c r="D19" s="6">
        <v>700890384798.691</v>
      </c>
      <c r="E19" s="7">
        <v>8.27194782179017</v>
      </c>
      <c r="G19" s="5"/>
      <c r="H19" s="5"/>
      <c r="I19" s="5"/>
      <c r="J19" s="5"/>
      <c r="L19" s="5"/>
      <c r="M19" s="5"/>
      <c r="N19" s="5"/>
      <c r="O19" s="5"/>
    </row>
    <row r="20" spans="1:15">
      <c r="A20" s="1">
        <v>2039</v>
      </c>
      <c r="B20" s="6">
        <v>96648496454.4231</v>
      </c>
      <c r="C20" s="6">
        <v>35725120115.066</v>
      </c>
      <c r="D20" s="6">
        <v>690302806876.321</v>
      </c>
      <c r="E20" s="7">
        <v>8.2267642344581</v>
      </c>
      <c r="G20" s="5"/>
      <c r="H20" s="5"/>
      <c r="I20" s="5"/>
      <c r="J20" s="5"/>
      <c r="L20" s="5"/>
      <c r="M20" s="5"/>
      <c r="N20" s="5"/>
      <c r="O20" s="5"/>
    </row>
    <row r="21" spans="1:15">
      <c r="A21" s="1">
        <v>2040</v>
      </c>
      <c r="B21" s="6">
        <v>101871814331.273</v>
      </c>
      <c r="C21" s="6">
        <v>35495683573.47</v>
      </c>
      <c r="D21" s="6">
        <v>678366176198.683</v>
      </c>
      <c r="E21" s="7">
        <v>8.15733674103426</v>
      </c>
      <c r="G21" s="5"/>
      <c r="H21" s="5"/>
      <c r="I21" s="5"/>
      <c r="J21" s="5"/>
      <c r="L21" s="5"/>
      <c r="M21" s="5"/>
      <c r="N21" s="5"/>
      <c r="O21" s="5"/>
    </row>
    <row r="32" spans="1:15">
      <c r="B32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停止推广EV -2050碳中和</vt:lpstr>
      <vt:lpstr>限售配额</vt:lpstr>
      <vt:lpstr>停止推广EV</vt:lpstr>
      <vt:lpstr>2060碳中和-变动行为情景仿真</vt:lpstr>
      <vt:lpstr>2060碳中和-基准行为情景仿真</vt:lpstr>
      <vt:lpstr>2050碳中和-变动行为情景仿真</vt:lpstr>
      <vt:lpstr>2050碳中和-基准行为情景仿真 </vt:lpstr>
      <vt:lpstr>基准情景-变动行为情景仿真 </vt:lpstr>
      <vt:lpstr>基准排放-基准行为情景仿真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杨硕</cp:lastModifiedBy>
  <dcterms:created xsi:type="dcterms:W3CDTF">2015-06-05T18:19:00Z</dcterms:created>
  <dcterms:modified xsi:type="dcterms:W3CDTF">2026-08-08T15:59:19Z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E3633E1E0A914A828665CB9653330D7C_12</vt:lpwstr>
  </property>
  <property fmtid="{D5CDD505-2E9C-101B-9397-08002B2CF9AE}" pid="3" name="KSOProductBuildVer">
    <vt:lpwstr>2052-12.1.0.23542</vt:lpwstr>
  </property>
</Properties>
</file>